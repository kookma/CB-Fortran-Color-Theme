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Fortran\CB_ColorTheme_Fortran\"/>
    </mc:Choice>
  </mc:AlternateContent>
  <bookViews>
    <workbookView xWindow="0" yWindow="0" windowWidth="17970" windowHeight="6120"/>
  </bookViews>
  <sheets>
    <sheet name="fortran" sheetId="1" r:id="rId1"/>
    <sheet name="Colors" sheetId="11" r:id="rId2"/>
    <sheet name="cvs" sheetId="13" r:id="rId3"/>
  </sheets>
  <calcPr calcId="152511"/>
</workbook>
</file>

<file path=xl/calcChain.xml><?xml version="1.0" encoding="utf-8"?>
<calcChain xmlns="http://schemas.openxmlformats.org/spreadsheetml/2006/main">
  <c r="A1" i="13" l="1"/>
  <c r="B1" i="13"/>
  <c r="C1" i="13"/>
  <c r="D1" i="13"/>
  <c r="E1" i="13"/>
  <c r="F1" i="13"/>
  <c r="G1" i="13"/>
  <c r="A2" i="13"/>
  <c r="B2" i="13"/>
  <c r="C2" i="13"/>
  <c r="D2" i="13"/>
  <c r="E2" i="13"/>
  <c r="F2" i="13"/>
  <c r="G2" i="13"/>
  <c r="A3" i="13"/>
  <c r="B3" i="13"/>
  <c r="C3" i="13"/>
  <c r="D3" i="13"/>
  <c r="E3" i="13"/>
  <c r="F3" i="13"/>
  <c r="G3" i="13"/>
  <c r="A4" i="13"/>
  <c r="B4" i="13"/>
  <c r="C4" i="13"/>
  <c r="D4" i="13"/>
  <c r="E4" i="13"/>
  <c r="F4" i="13"/>
  <c r="G4" i="13"/>
  <c r="A5" i="13"/>
  <c r="B5" i="13"/>
  <c r="C5" i="13"/>
  <c r="D5" i="13"/>
  <c r="E5" i="13"/>
  <c r="F5" i="13"/>
  <c r="G5" i="13"/>
  <c r="A6" i="13"/>
  <c r="B6" i="13"/>
  <c r="C6" i="13"/>
  <c r="D6" i="13"/>
  <c r="E6" i="13"/>
  <c r="F6" i="13"/>
  <c r="G6" i="13"/>
  <c r="A7" i="13"/>
  <c r="B7" i="13"/>
  <c r="C7" i="13"/>
  <c r="D7" i="13"/>
  <c r="E7" i="13"/>
  <c r="F7" i="13"/>
  <c r="G7" i="13"/>
  <c r="A8" i="13"/>
  <c r="B8" i="13"/>
  <c r="C8" i="13"/>
  <c r="D8" i="13"/>
  <c r="E8" i="13"/>
  <c r="F8" i="13"/>
  <c r="G8" i="13"/>
  <c r="A9" i="13"/>
  <c r="B9" i="13"/>
  <c r="C9" i="13"/>
  <c r="D9" i="13"/>
  <c r="E9" i="13"/>
  <c r="F9" i="13"/>
  <c r="G9" i="13"/>
  <c r="A10" i="13"/>
  <c r="B10" i="13"/>
  <c r="C10" i="13"/>
  <c r="D10" i="13"/>
  <c r="E10" i="13"/>
  <c r="F10" i="13"/>
  <c r="G10" i="13"/>
  <c r="A11" i="13"/>
  <c r="B11" i="13"/>
  <c r="C11" i="13"/>
  <c r="D11" i="13"/>
  <c r="E11" i="13"/>
  <c r="F11" i="13"/>
  <c r="G11" i="13"/>
  <c r="A12" i="13"/>
  <c r="B12" i="13"/>
  <c r="C12" i="13"/>
  <c r="D12" i="13"/>
  <c r="E12" i="13"/>
  <c r="F12" i="13"/>
  <c r="G12" i="13"/>
  <c r="A13" i="13"/>
  <c r="B13" i="13"/>
  <c r="C13" i="13"/>
  <c r="D13" i="13"/>
  <c r="E13" i="13"/>
  <c r="F13" i="13"/>
  <c r="G13" i="13"/>
  <c r="A14" i="13"/>
  <c r="B14" i="13"/>
  <c r="C14" i="13"/>
  <c r="D14" i="13"/>
  <c r="E14" i="13"/>
  <c r="F14" i="13"/>
  <c r="G14" i="13"/>
  <c r="A15" i="13"/>
  <c r="B15" i="13"/>
  <c r="C15" i="13"/>
  <c r="D15" i="13"/>
  <c r="E15" i="13"/>
  <c r="F15" i="13"/>
  <c r="G15" i="13"/>
  <c r="A16" i="13"/>
  <c r="B16" i="13"/>
  <c r="C16" i="13"/>
  <c r="D16" i="13"/>
  <c r="E16" i="13"/>
  <c r="F16" i="13"/>
  <c r="G16" i="13"/>
  <c r="F57" i="11" l="1"/>
  <c r="E57" i="11"/>
  <c r="D57" i="11"/>
  <c r="F56" i="11"/>
  <c r="E56" i="11"/>
  <c r="D56" i="11"/>
  <c r="F55" i="11"/>
  <c r="E55" i="11"/>
  <c r="D55" i="11"/>
  <c r="F54" i="11"/>
  <c r="E54" i="11"/>
  <c r="D54" i="11"/>
  <c r="F53" i="11"/>
  <c r="E53" i="11"/>
  <c r="D53" i="11"/>
  <c r="F52" i="11"/>
  <c r="E52" i="11"/>
  <c r="D52" i="11"/>
  <c r="F51" i="11"/>
  <c r="E51" i="11"/>
  <c r="D51" i="11"/>
  <c r="F50" i="11"/>
  <c r="E50" i="11"/>
  <c r="D50" i="11"/>
  <c r="F49" i="11"/>
  <c r="E49" i="11"/>
  <c r="D49" i="11"/>
  <c r="F48" i="11"/>
  <c r="E48" i="11"/>
  <c r="D48" i="11"/>
  <c r="F47" i="11"/>
  <c r="E47" i="11"/>
  <c r="D47" i="11"/>
  <c r="F46" i="11"/>
  <c r="E46" i="11"/>
  <c r="D46" i="11"/>
  <c r="F45" i="11"/>
  <c r="E45" i="11"/>
  <c r="D45" i="11"/>
  <c r="F44" i="11"/>
  <c r="E44" i="11"/>
  <c r="D44" i="11"/>
  <c r="F43" i="11"/>
  <c r="E43" i="11"/>
  <c r="D43" i="11"/>
  <c r="F42" i="11"/>
  <c r="E42" i="11"/>
  <c r="D42" i="11"/>
  <c r="F41" i="11"/>
  <c r="E41" i="11"/>
  <c r="D41" i="11"/>
  <c r="F40" i="11"/>
  <c r="E40" i="11"/>
  <c r="D40" i="11"/>
  <c r="F39" i="11"/>
  <c r="E39" i="11"/>
  <c r="D39" i="11"/>
  <c r="F38" i="11"/>
  <c r="E38" i="11"/>
  <c r="D38" i="11"/>
  <c r="F37" i="11"/>
  <c r="E37" i="11"/>
  <c r="D37" i="11"/>
  <c r="F36" i="11"/>
  <c r="E36" i="11"/>
  <c r="D36" i="11"/>
  <c r="F35" i="11"/>
  <c r="E35" i="11"/>
  <c r="D35" i="11"/>
  <c r="F34" i="11"/>
  <c r="E34" i="11"/>
  <c r="D34" i="11"/>
  <c r="F33" i="11"/>
  <c r="E33" i="11"/>
  <c r="D33" i="11"/>
  <c r="F32" i="11"/>
  <c r="E32" i="11"/>
  <c r="D32" i="11"/>
  <c r="F31" i="11"/>
  <c r="E31" i="11"/>
  <c r="D31" i="11"/>
  <c r="F30" i="11"/>
  <c r="E30" i="11"/>
  <c r="D30" i="11"/>
  <c r="F29" i="11"/>
  <c r="E29" i="11"/>
  <c r="D29" i="11"/>
  <c r="F28" i="11"/>
  <c r="E28" i="11"/>
  <c r="D28" i="11"/>
  <c r="F27" i="11"/>
  <c r="E27" i="11"/>
  <c r="D27" i="11"/>
  <c r="F26" i="11"/>
  <c r="E26" i="11"/>
  <c r="D26" i="11"/>
  <c r="F25" i="11"/>
  <c r="E25" i="11"/>
  <c r="D25" i="11"/>
  <c r="F24" i="11"/>
  <c r="E24" i="11"/>
  <c r="D24" i="11"/>
  <c r="F23" i="11"/>
  <c r="E23" i="11"/>
  <c r="D23" i="11"/>
  <c r="F22" i="11"/>
  <c r="E22" i="11"/>
  <c r="D22" i="11"/>
  <c r="F21" i="11"/>
  <c r="E21" i="11"/>
  <c r="D21" i="11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F13" i="11"/>
  <c r="E13" i="11"/>
  <c r="D13" i="11"/>
  <c r="F12" i="11"/>
  <c r="E12" i="11"/>
  <c r="D12" i="11"/>
  <c r="F11" i="11"/>
  <c r="E11" i="11"/>
  <c r="D11" i="11"/>
  <c r="F10" i="11"/>
  <c r="E10" i="11"/>
  <c r="D10" i="11"/>
  <c r="F9" i="11"/>
  <c r="E9" i="11"/>
  <c r="D9" i="11"/>
  <c r="F8" i="11"/>
  <c r="E8" i="11"/>
  <c r="D8" i="11"/>
  <c r="F7" i="11"/>
  <c r="E7" i="11"/>
  <c r="D7" i="11"/>
  <c r="F6" i="11"/>
  <c r="E6" i="11"/>
  <c r="D6" i="11"/>
  <c r="F5" i="11"/>
  <c r="E5" i="11"/>
  <c r="D5" i="11"/>
  <c r="F4" i="11"/>
  <c r="E4" i="11"/>
  <c r="D4" i="11"/>
  <c r="F3" i="11"/>
  <c r="E3" i="11"/>
  <c r="D3" i="11"/>
  <c r="F2" i="11"/>
  <c r="E2" i="11"/>
  <c r="D2" i="11"/>
  <c r="F1" i="11"/>
  <c r="E1" i="11"/>
  <c r="D1" i="11"/>
</calcChain>
</file>

<file path=xl/sharedStrings.xml><?xml version="1.0" encoding="utf-8"?>
<sst xmlns="http://schemas.openxmlformats.org/spreadsheetml/2006/main" count="205" uniqueCount="147">
  <si>
    <t>Name</t>
  </si>
  <si>
    <t>fr</t>
  </si>
  <si>
    <t>fg</t>
  </si>
  <si>
    <t>fb</t>
  </si>
  <si>
    <t>br</t>
  </si>
  <si>
    <t>bg</t>
  </si>
  <si>
    <t>bb</t>
  </si>
  <si>
    <t>Default</t>
  </si>
  <si>
    <t>Comment</t>
  </si>
  <si>
    <t>Number</t>
  </si>
  <si>
    <t>Identifier</t>
  </si>
  <si>
    <t>Keyword</t>
  </si>
  <si>
    <t>User Keyword</t>
  </si>
  <si>
    <t>String</t>
  </si>
  <si>
    <t>Label</t>
  </si>
  <si>
    <t>Continuation</t>
  </si>
  <si>
    <t>Preprocessor</t>
  </si>
  <si>
    <t>Operator</t>
  </si>
  <si>
    <t>Selection</t>
  </si>
  <si>
    <t>Active line</t>
  </si>
  <si>
    <t>Matching brace highlight</t>
  </si>
  <si>
    <t>No matching brace highlight</t>
  </si>
  <si>
    <t>[Color 0]</t>
  </si>
  <si>
    <t>[Color 0)</t>
  </si>
  <si>
    <t>[Color 1]</t>
  </si>
  <si>
    <t>[Color 1)</t>
  </si>
  <si>
    <t>[Color 2]</t>
  </si>
  <si>
    <t>[Color 2)</t>
  </si>
  <si>
    <t>[Color 3]</t>
  </si>
  <si>
    <t>[Color 3)</t>
  </si>
  <si>
    <t>[Color 4]</t>
  </si>
  <si>
    <t>[Color 4)</t>
  </si>
  <si>
    <t>[Color 5]</t>
  </si>
  <si>
    <t>[Color 5)</t>
  </si>
  <si>
    <t>[Color 6]</t>
  </si>
  <si>
    <t>[Color 6)</t>
  </si>
  <si>
    <t>[Color 7]</t>
  </si>
  <si>
    <t>[Color 7)</t>
  </si>
  <si>
    <t>[Color 8]</t>
  </si>
  <si>
    <t>[Color 8)</t>
  </si>
  <si>
    <t>[Color 9]</t>
  </si>
  <si>
    <t>[Color 9)</t>
  </si>
  <si>
    <t>[Color 10]</t>
  </si>
  <si>
    <t>[Color 10)</t>
  </si>
  <si>
    <t>[Color 11]</t>
  </si>
  <si>
    <t>[Color 11)</t>
  </si>
  <si>
    <t>[Color 12]</t>
  </si>
  <si>
    <t>[Color 12)</t>
  </si>
  <si>
    <t>[Color 13]</t>
  </si>
  <si>
    <t>[Color 13)</t>
  </si>
  <si>
    <t>[Color 14]</t>
  </si>
  <si>
    <t>[Color 14)</t>
  </si>
  <si>
    <t>[Color 15]</t>
  </si>
  <si>
    <t>[Color 15)</t>
  </si>
  <si>
    <t>[Color 16]</t>
  </si>
  <si>
    <t>[Color 16)</t>
  </si>
  <si>
    <t>[Color 17]</t>
  </si>
  <si>
    <t>[Color 17)</t>
  </si>
  <si>
    <t>[Color 18]</t>
  </si>
  <si>
    <t>[Color 18)</t>
  </si>
  <si>
    <t>[Color 19]</t>
  </si>
  <si>
    <t>[Color 19)</t>
  </si>
  <si>
    <t>[Color 20]</t>
  </si>
  <si>
    <t>[Color 20)</t>
  </si>
  <si>
    <t>[Color 21]</t>
  </si>
  <si>
    <t>[Color 21)</t>
  </si>
  <si>
    <t>[Color 22]</t>
  </si>
  <si>
    <t>[Color 22)</t>
  </si>
  <si>
    <t>[Color 23]</t>
  </si>
  <si>
    <t>[Color 23)</t>
  </si>
  <si>
    <t>[Color 24]</t>
  </si>
  <si>
    <t>[Color 24)</t>
  </si>
  <si>
    <t>[Color 25]</t>
  </si>
  <si>
    <t>[Color 25)</t>
  </si>
  <si>
    <t>[Color 26]</t>
  </si>
  <si>
    <t>[Color 26)</t>
  </si>
  <si>
    <t>[Color 27]</t>
  </si>
  <si>
    <t>[Color 27)</t>
  </si>
  <si>
    <t>[Color 28]</t>
  </si>
  <si>
    <t>[Color 28)</t>
  </si>
  <si>
    <t>[Color 29]</t>
  </si>
  <si>
    <t>[Color 29)</t>
  </si>
  <si>
    <t>[Color 30]</t>
  </si>
  <si>
    <t>[Color 30)</t>
  </si>
  <si>
    <t>[Color 31]</t>
  </si>
  <si>
    <t>[Color 31)</t>
  </si>
  <si>
    <t>[Color 32]</t>
  </si>
  <si>
    <t>[Color 32)</t>
  </si>
  <si>
    <t>[Color 33]</t>
  </si>
  <si>
    <t>[Color 33)</t>
  </si>
  <si>
    <t>[Color 34]</t>
  </si>
  <si>
    <t>[Color 34)</t>
  </si>
  <si>
    <t>[Color 35]</t>
  </si>
  <si>
    <t>[Color 35)</t>
  </si>
  <si>
    <t>[Color 36]</t>
  </si>
  <si>
    <t>[Color 36)</t>
  </si>
  <si>
    <t>[Color 37]</t>
  </si>
  <si>
    <t>[Color 37)</t>
  </si>
  <si>
    <t>[Color 38]</t>
  </si>
  <si>
    <t>[Color 38)</t>
  </si>
  <si>
    <t>[Color 39]</t>
  </si>
  <si>
    <t>[Color 39)</t>
  </si>
  <si>
    <t>[Color 40]</t>
  </si>
  <si>
    <t>[Color 40)</t>
  </si>
  <si>
    <t>[Color 41]</t>
  </si>
  <si>
    <t>[Color 41)</t>
  </si>
  <si>
    <t>[Color 42]</t>
  </si>
  <si>
    <t>[Color 42)</t>
  </si>
  <si>
    <t>[Color 43]</t>
  </si>
  <si>
    <t>[Color 43)</t>
  </si>
  <si>
    <t>[Color 44]</t>
  </si>
  <si>
    <t>[Color 44)</t>
  </si>
  <si>
    <t>[Color 45]</t>
  </si>
  <si>
    <t>[Color 45)</t>
  </si>
  <si>
    <t>[Color 46]</t>
  </si>
  <si>
    <t>[Color 46)</t>
  </si>
  <si>
    <t>[Color 47]</t>
  </si>
  <si>
    <t>[Color 47)</t>
  </si>
  <si>
    <t>[Color 48]</t>
  </si>
  <si>
    <t>[Color 48)</t>
  </si>
  <si>
    <t>[Color 49]</t>
  </si>
  <si>
    <t>[Color 49)</t>
  </si>
  <si>
    <t>[Color 50]</t>
  </si>
  <si>
    <t>[Color 50)</t>
  </si>
  <si>
    <t>[Color 51]</t>
  </si>
  <si>
    <t>[Color 51)</t>
  </si>
  <si>
    <t>[Color 52]</t>
  </si>
  <si>
    <t>[Color 52)</t>
  </si>
  <si>
    <t>[Color 53]</t>
  </si>
  <si>
    <t>[Color 53)</t>
  </si>
  <si>
    <t>[Color 54]</t>
  </si>
  <si>
    <t>[Color 54)</t>
  </si>
  <si>
    <t>[Color 55]</t>
  </si>
  <si>
    <t>[Color 55)</t>
  </si>
  <si>
    <t>[Color 56]</t>
  </si>
  <si>
    <t>[Color 56)</t>
  </si>
  <si>
    <t>Red</t>
  </si>
  <si>
    <t>Green</t>
  </si>
  <si>
    <t>Blue</t>
  </si>
  <si>
    <t>Change the rgb value and click on "color" to see the new color</t>
  </si>
  <si>
    <t>Clcik to export and save the color setting into a csv file</t>
  </si>
  <si>
    <t>Click to preview the color on the first column</t>
  </si>
  <si>
    <t>More information on</t>
  </si>
  <si>
    <t>https://github.com/kookma/CB-Fortran-Color-Theme</t>
  </si>
  <si>
    <t>Short description: This file cab be used to apply colors to different syntax elements of Fortran language. The seeting can be then exported into a csv file and can be read by CB_Color_Theme_Fortran to generate a xml file to be used in Code::Blocks IDE.</t>
  </si>
  <si>
    <t>Volcanic</t>
  </si>
  <si>
    <t>Name of Theme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</si>
</sst>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indexed="11"/>
      <name val="Calibri"/>
      <family val="2"/>
      <scheme val="minor"/>
    </font>
    <font>
      <sz val="11"/>
      <color indexed="12"/>
      <name val="Calibri"/>
      <family val="2"/>
      <scheme val="minor"/>
    </font>
    <font>
      <sz val="11"/>
      <color indexed="13"/>
      <name val="Calibri"/>
      <family val="2"/>
      <scheme val="minor"/>
    </font>
    <font>
      <sz val="11"/>
      <color indexed="14"/>
      <name val="Calibri"/>
      <family val="2"/>
      <scheme val="minor"/>
    </font>
    <font>
      <sz val="11"/>
      <color indexed="15"/>
      <name val="Calibri"/>
      <family val="2"/>
      <scheme val="minor"/>
    </font>
    <font>
      <sz val="11"/>
      <color indexed="16"/>
      <name val="Calibri"/>
      <family val="2"/>
      <scheme val="minor"/>
    </font>
    <font>
      <sz val="11"/>
      <color indexed="17"/>
      <name val="Calibri"/>
      <family val="2"/>
      <scheme val="minor"/>
    </font>
    <font>
      <sz val="11"/>
      <color indexed="18"/>
      <name val="Calibri"/>
      <family val="2"/>
      <scheme val="minor"/>
    </font>
    <font>
      <sz val="11"/>
      <color indexed="19"/>
      <name val="Calibri"/>
      <family val="2"/>
      <scheme val="minor"/>
    </font>
    <font>
      <sz val="11"/>
      <color indexed="20"/>
      <name val="Calibri"/>
      <family val="2"/>
      <scheme val="minor"/>
    </font>
    <font>
      <sz val="11"/>
      <color indexed="21"/>
      <name val="Calibri"/>
      <family val="2"/>
      <scheme val="minor"/>
    </font>
    <font>
      <sz val="11"/>
      <color indexed="22"/>
      <name val="Calibri"/>
      <family val="2"/>
      <scheme val="minor"/>
    </font>
    <font>
      <sz val="11"/>
      <color indexed="23"/>
      <name val="Calibri"/>
      <family val="2"/>
      <scheme val="minor"/>
    </font>
    <font>
      <sz val="11"/>
      <color indexed="24"/>
      <name val="Calibri"/>
      <family val="2"/>
      <scheme val="minor"/>
    </font>
    <font>
      <sz val="11"/>
      <color indexed="25"/>
      <name val="Calibri"/>
      <family val="2"/>
      <scheme val="minor"/>
    </font>
    <font>
      <sz val="11"/>
      <color indexed="26"/>
      <name val="Calibri"/>
      <family val="2"/>
      <scheme val="minor"/>
    </font>
    <font>
      <sz val="11"/>
      <color indexed="27"/>
      <name val="Calibri"/>
      <family val="2"/>
      <scheme val="minor"/>
    </font>
    <font>
      <sz val="11"/>
      <color indexed="28"/>
      <name val="Calibri"/>
      <family val="2"/>
      <scheme val="minor"/>
    </font>
    <font>
      <sz val="11"/>
      <color indexed="29"/>
      <name val="Calibri"/>
      <family val="2"/>
      <scheme val="minor"/>
    </font>
    <font>
      <sz val="11"/>
      <color indexed="30"/>
      <name val="Calibri"/>
      <family val="2"/>
      <scheme val="minor"/>
    </font>
    <font>
      <sz val="11"/>
      <color indexed="31"/>
      <name val="Calibri"/>
      <family val="2"/>
      <scheme val="minor"/>
    </font>
    <font>
      <sz val="11"/>
      <color indexed="32"/>
      <name val="Calibri"/>
      <family val="2"/>
      <scheme val="minor"/>
    </font>
    <font>
      <sz val="11"/>
      <color indexed="33"/>
      <name val="Calibri"/>
      <family val="2"/>
      <scheme val="minor"/>
    </font>
    <font>
      <sz val="11"/>
      <color indexed="34"/>
      <name val="Calibri"/>
      <family val="2"/>
      <scheme val="minor"/>
    </font>
    <font>
      <sz val="11"/>
      <color indexed="35"/>
      <name val="Calibri"/>
      <family val="2"/>
      <scheme val="minor"/>
    </font>
    <font>
      <sz val="11"/>
      <color indexed="36"/>
      <name val="Calibri"/>
      <family val="2"/>
      <scheme val="minor"/>
    </font>
    <font>
      <sz val="11"/>
      <color indexed="37"/>
      <name val="Calibri"/>
      <family val="2"/>
      <scheme val="minor"/>
    </font>
    <font>
      <sz val="11"/>
      <color indexed="38"/>
      <name val="Calibri"/>
      <family val="2"/>
      <scheme val="minor"/>
    </font>
    <font>
      <sz val="11"/>
      <color indexed="39"/>
      <name val="Calibri"/>
      <family val="2"/>
      <scheme val="minor"/>
    </font>
    <font>
      <sz val="11"/>
      <color indexed="40"/>
      <name val="Calibri"/>
      <family val="2"/>
      <scheme val="minor"/>
    </font>
    <font>
      <sz val="11"/>
      <color indexed="41"/>
      <name val="Calibri"/>
      <family val="2"/>
      <scheme val="minor"/>
    </font>
    <font>
      <sz val="11"/>
      <color indexed="42"/>
      <name val="Calibri"/>
      <family val="2"/>
      <scheme val="minor"/>
    </font>
    <font>
      <sz val="11"/>
      <color indexed="43"/>
      <name val="Calibri"/>
      <family val="2"/>
      <scheme val="minor"/>
    </font>
    <font>
      <sz val="11"/>
      <color indexed="44"/>
      <name val="Calibri"/>
      <family val="2"/>
      <scheme val="minor"/>
    </font>
    <font>
      <sz val="11"/>
      <color indexed="45"/>
      <name val="Calibri"/>
      <family val="2"/>
      <scheme val="minor"/>
    </font>
    <font>
      <sz val="11"/>
      <color indexed="46"/>
      <name val="Calibri"/>
      <family val="2"/>
      <scheme val="minor"/>
    </font>
    <font>
      <sz val="11"/>
      <color indexed="47"/>
      <name val="Calibri"/>
      <family val="2"/>
      <scheme val="minor"/>
    </font>
    <font>
      <sz val="11"/>
      <color indexed="48"/>
      <name val="Calibri"/>
      <family val="2"/>
      <scheme val="minor"/>
    </font>
    <font>
      <sz val="11"/>
      <color indexed="49"/>
      <name val="Calibri"/>
      <family val="2"/>
      <scheme val="minor"/>
    </font>
    <font>
      <sz val="11"/>
      <color indexed="50"/>
      <name val="Calibri"/>
      <family val="2"/>
      <scheme val="minor"/>
    </font>
    <font>
      <sz val="11"/>
      <color indexed="51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53"/>
      <name val="Calibri"/>
      <family val="2"/>
      <scheme val="minor"/>
    </font>
    <font>
      <sz val="11"/>
      <color indexed="54"/>
      <name val="Calibri"/>
      <family val="2"/>
      <scheme val="minor"/>
    </font>
    <font>
      <sz val="11"/>
      <color indexed="55"/>
      <name val="Calibri"/>
      <family val="2"/>
      <scheme val="minor"/>
    </font>
    <font>
      <sz val="11"/>
      <color indexed="56"/>
      <name val="Calibri"/>
      <family val="2"/>
      <scheme val="minor"/>
    </font>
    <font>
      <sz val="11"/>
      <color indexed="57"/>
      <name val="Calibri"/>
      <family val="2"/>
      <scheme val="minor"/>
    </font>
    <font>
      <sz val="11"/>
      <color indexed="58"/>
      <name val="Calibri"/>
      <family val="2"/>
      <scheme val="minor"/>
    </font>
    <font>
      <sz val="11"/>
      <color indexed="59"/>
      <name val="Calibri"/>
      <family val="2"/>
      <scheme val="minor"/>
    </font>
    <font>
      <sz val="11"/>
      <color indexed="60"/>
      <name val="Calibri"/>
      <family val="2"/>
      <scheme val="minor"/>
    </font>
    <font>
      <sz val="11"/>
      <color indexed="61"/>
      <name val="Calibri"/>
      <family val="2"/>
      <scheme val="minor"/>
    </font>
    <font>
      <sz val="11"/>
      <color indexed="62"/>
      <name val="Calibri"/>
      <family val="2"/>
      <scheme val="minor"/>
    </font>
    <font>
      <sz val="11"/>
      <color indexed="63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Consolas"/>
      <family val="3"/>
    </font>
    <font>
      <sz val="12"/>
      <color rgb="FFFFFFFF"/>
      <name val="Consolas"/>
      <family val="3"/>
    </font>
    <font>
      <sz val="11"/>
      <color rgb="FF000000"/>
      <name val="Calibri"/>
      <family val="2"/>
    </font>
    <font>
      <sz val="11"/>
      <color rgb="FFFF0000"/>
      <name val="Consolas"/>
      <family val="3"/>
    </font>
    <font>
      <sz val="12"/>
      <color rgb="FF408080"/>
      <name val="Consolas"/>
      <family val="3"/>
    </font>
    <font>
      <i/>
      <sz val="10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48000"/>
      <name val="Consolas"/>
      <family val="3"/>
    </font>
    <font>
      <sz val="12"/>
      <color rgb="FFA04020"/>
      <name val="Consolas"/>
      <family val="3"/>
    </font>
    <font>
      <sz val="12"/>
      <color rgb="FFFFE020"/>
      <name val="Consolas"/>
      <family val="3"/>
    </font>
    <font>
      <sz val="11"/>
      <name val="Consolas"/>
      <family val="3"/>
    </font>
    <font>
      <sz val="12"/>
      <color rgb="FFFFA0A0"/>
      <name val="Consolas"/>
      <family val="3"/>
    </font>
    <font>
      <sz val="12"/>
      <color rgb="FFA0E000"/>
      <name val="Consolas"/>
      <family val="3"/>
    </font>
    <font>
      <sz val="12"/>
      <color rgb="FF40C020"/>
      <name val="Consolas"/>
      <family val="3"/>
    </font>
    <font>
      <sz val="12"/>
      <color rgb="FFFF1000"/>
      <name val="Consolas"/>
      <family val="3"/>
    </font>
    <font>
      <sz val="12"/>
      <color rgb="FFA0A020"/>
      <name val="Consolas"/>
      <family val="3"/>
    </font>
    <font>
      <sz val="11"/>
      <color rgb="FF339933"/>
      <name val="Courier New"/>
      <family val="3"/>
    </font>
  </fonts>
  <fills count="9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B2D41"/>
        <bgColor indexed="64"/>
      </patternFill>
    </fill>
    <fill>
      <patternFill patternType="solid">
        <fgColor rgb="FF180808"/>
        <bgColor indexed="64"/>
      </patternFill>
    </fill>
    <fill>
      <patternFill patternType="solid">
        <fgColor rgb="FF602020"/>
        <bgColor indexed="64"/>
      </patternFill>
    </fill>
    <fill>
      <patternFill patternType="solid">
        <fgColor rgb="FF401010"/>
        <bgColor indexed="64"/>
      </patternFill>
    </fill>
    <fill>
      <patternFill patternType="solid">
        <fgColor rgb="FFE02008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83" fillId="0" borderId="0" applyNumberFormat="0" applyFill="0" applyBorder="0" applyAlignment="0" applyProtection="0"/>
  </cellStyleXfs>
  <cellXfs count="143">
    <xf numFmtId="0" fontId="0" fillId="0" borderId="0" xfId="0"/>
    <xf numFmtId="0" fontId="0" fillId="0" borderId="0" xfId="0" applyFill="1"/>
    <xf numFmtId="0" fontId="18" fillId="0" borderId="0" xfId="0" applyFont="1"/>
    <xf numFmtId="0" fontId="0" fillId="33" borderId="0" xfId="0" applyFill="1"/>
    <xf numFmtId="0" fontId="19" fillId="0" borderId="0" xfId="0" applyFont="1"/>
    <xf numFmtId="0" fontId="0" fillId="34" borderId="0" xfId="0" applyFill="1"/>
    <xf numFmtId="0" fontId="20" fillId="0" borderId="0" xfId="0" applyFont="1"/>
    <xf numFmtId="0" fontId="0" fillId="35" borderId="0" xfId="0" applyFill="1"/>
    <xf numFmtId="0" fontId="21" fillId="0" borderId="0" xfId="0" applyFont="1"/>
    <xf numFmtId="0" fontId="0" fillId="36" borderId="0" xfId="0" applyFill="1"/>
    <xf numFmtId="0" fontId="22" fillId="0" borderId="0" xfId="0" applyFont="1"/>
    <xf numFmtId="0" fontId="0" fillId="37" borderId="0" xfId="0" applyFill="1"/>
    <xf numFmtId="0" fontId="23" fillId="0" borderId="0" xfId="0" applyFont="1"/>
    <xf numFmtId="0" fontId="0" fillId="38" borderId="0" xfId="0" applyFill="1"/>
    <xf numFmtId="0" fontId="24" fillId="0" borderId="0" xfId="0" applyFont="1"/>
    <xf numFmtId="0" fontId="0" fillId="39" borderId="0" xfId="0" applyFill="1"/>
    <xf numFmtId="0" fontId="25" fillId="0" borderId="0" xfId="0" applyFont="1"/>
    <xf numFmtId="0" fontId="0" fillId="40" borderId="0" xfId="0" applyFill="1"/>
    <xf numFmtId="0" fontId="26" fillId="0" borderId="0" xfId="0" applyFont="1"/>
    <xf numFmtId="0" fontId="0" fillId="41" borderId="0" xfId="0" applyFill="1"/>
    <xf numFmtId="0" fontId="27" fillId="0" borderId="0" xfId="0" applyFont="1"/>
    <xf numFmtId="0" fontId="0" fillId="42" borderId="0" xfId="0" applyFill="1"/>
    <xf numFmtId="0" fontId="28" fillId="0" borderId="0" xfId="0" applyFont="1"/>
    <xf numFmtId="0" fontId="0" fillId="43" borderId="0" xfId="0" applyFill="1"/>
    <xf numFmtId="0" fontId="29" fillId="0" borderId="0" xfId="0" applyFont="1"/>
    <xf numFmtId="0" fontId="0" fillId="44" borderId="0" xfId="0" applyFill="1"/>
    <xf numFmtId="0" fontId="30" fillId="0" borderId="0" xfId="0" applyFont="1"/>
    <xf numFmtId="0" fontId="0" fillId="45" borderId="0" xfId="0" applyFill="1"/>
    <xf numFmtId="0" fontId="31" fillId="0" borderId="0" xfId="0" applyFont="1"/>
    <xf numFmtId="0" fontId="0" fillId="46" borderId="0" xfId="0" applyFill="1"/>
    <xf numFmtId="0" fontId="32" fillId="0" borderId="0" xfId="0" applyFont="1"/>
    <xf numFmtId="0" fontId="0" fillId="47" borderId="0" xfId="0" applyFill="1"/>
    <xf numFmtId="0" fontId="33" fillId="0" borderId="0" xfId="0" applyFont="1"/>
    <xf numFmtId="0" fontId="0" fillId="48" borderId="0" xfId="0" applyFill="1"/>
    <xf numFmtId="0" fontId="34" fillId="0" borderId="0" xfId="0" applyFont="1"/>
    <xf numFmtId="0" fontId="0" fillId="49" borderId="0" xfId="0" applyFill="1"/>
    <xf numFmtId="0" fontId="35" fillId="0" borderId="0" xfId="0" applyFont="1"/>
    <xf numFmtId="0" fontId="0" fillId="50" borderId="0" xfId="0" applyFill="1"/>
    <xf numFmtId="0" fontId="36" fillId="0" borderId="0" xfId="0" applyFont="1"/>
    <xf numFmtId="0" fontId="0" fillId="51" borderId="0" xfId="0" applyFill="1"/>
    <xf numFmtId="0" fontId="37" fillId="0" borderId="0" xfId="0" applyFont="1"/>
    <xf numFmtId="0" fontId="0" fillId="52" borderId="0" xfId="0" applyFill="1"/>
    <xf numFmtId="0" fontId="38" fillId="0" borderId="0" xfId="0" applyFont="1"/>
    <xf numFmtId="0" fontId="0" fillId="53" borderId="0" xfId="0" applyFill="1"/>
    <xf numFmtId="0" fontId="39" fillId="0" borderId="0" xfId="0" applyFont="1"/>
    <xf numFmtId="0" fontId="0" fillId="54" borderId="0" xfId="0" applyFill="1"/>
    <xf numFmtId="0" fontId="40" fillId="0" borderId="0" xfId="0" applyFont="1"/>
    <xf numFmtId="0" fontId="0" fillId="55" borderId="0" xfId="0" applyFill="1"/>
    <xf numFmtId="0" fontId="41" fillId="0" borderId="0" xfId="0" applyFont="1"/>
    <xf numFmtId="0" fontId="0" fillId="56" borderId="0" xfId="0" applyFill="1"/>
    <xf numFmtId="0" fontId="42" fillId="0" borderId="0" xfId="0" applyFont="1"/>
    <xf numFmtId="0" fontId="0" fillId="57" borderId="0" xfId="0" applyFill="1"/>
    <xf numFmtId="0" fontId="43" fillId="0" borderId="0" xfId="0" applyFont="1"/>
    <xf numFmtId="0" fontId="0" fillId="58" borderId="0" xfId="0" applyFill="1"/>
    <xf numFmtId="0" fontId="44" fillId="0" borderId="0" xfId="0" applyFont="1"/>
    <xf numFmtId="0" fontId="0" fillId="59" borderId="0" xfId="0" applyFill="1"/>
    <xf numFmtId="0" fontId="45" fillId="0" borderId="0" xfId="0" applyFont="1"/>
    <xf numFmtId="0" fontId="0" fillId="60" borderId="0" xfId="0" applyFill="1"/>
    <xf numFmtId="0" fontId="46" fillId="0" borderId="0" xfId="0" applyFont="1"/>
    <xf numFmtId="0" fontId="0" fillId="61" borderId="0" xfId="0" applyFill="1"/>
    <xf numFmtId="0" fontId="47" fillId="0" borderId="0" xfId="0" applyFont="1"/>
    <xf numFmtId="0" fontId="0" fillId="62" borderId="0" xfId="0" applyFill="1"/>
    <xf numFmtId="0" fontId="48" fillId="0" borderId="0" xfId="0" applyFont="1"/>
    <xf numFmtId="0" fontId="0" fillId="63" borderId="0" xfId="0" applyFill="1"/>
    <xf numFmtId="0" fontId="49" fillId="0" borderId="0" xfId="0" applyFont="1"/>
    <xf numFmtId="0" fontId="0" fillId="64" borderId="0" xfId="0" applyFill="1"/>
    <xf numFmtId="0" fontId="50" fillId="0" borderId="0" xfId="0" applyFont="1"/>
    <xf numFmtId="0" fontId="0" fillId="65" borderId="0" xfId="0" applyFill="1"/>
    <xf numFmtId="0" fontId="51" fillId="0" borderId="0" xfId="0" applyFont="1"/>
    <xf numFmtId="0" fontId="0" fillId="66" borderId="0" xfId="0" applyFill="1"/>
    <xf numFmtId="0" fontId="52" fillId="0" borderId="0" xfId="0" applyFont="1"/>
    <xf numFmtId="0" fontId="0" fillId="67" borderId="0" xfId="0" applyFill="1"/>
    <xf numFmtId="0" fontId="53" fillId="0" borderId="0" xfId="0" applyFont="1"/>
    <xf numFmtId="0" fontId="0" fillId="68" borderId="0" xfId="0" applyFill="1"/>
    <xf numFmtId="0" fontId="54" fillId="0" borderId="0" xfId="0" applyFont="1"/>
    <xf numFmtId="0" fontId="0" fillId="69" borderId="0" xfId="0" applyFill="1"/>
    <xf numFmtId="0" fontId="55" fillId="0" borderId="0" xfId="0" applyFont="1"/>
    <xf numFmtId="0" fontId="0" fillId="70" borderId="0" xfId="0" applyFill="1"/>
    <xf numFmtId="0" fontId="56" fillId="0" borderId="0" xfId="0" applyFont="1"/>
    <xf numFmtId="0" fontId="0" fillId="71" borderId="0" xfId="0" applyFill="1"/>
    <xf numFmtId="0" fontId="57" fillId="0" borderId="0" xfId="0" applyFont="1"/>
    <xf numFmtId="0" fontId="0" fillId="72" borderId="0" xfId="0" applyFill="1"/>
    <xf numFmtId="0" fontId="58" fillId="0" borderId="0" xfId="0" applyFont="1"/>
    <xf numFmtId="0" fontId="0" fillId="73" borderId="0" xfId="0" applyFill="1"/>
    <xf numFmtId="0" fontId="59" fillId="0" borderId="0" xfId="0" applyFont="1"/>
    <xf numFmtId="0" fontId="0" fillId="74" borderId="0" xfId="0" applyFill="1"/>
    <xf numFmtId="0" fontId="60" fillId="0" borderId="0" xfId="0" applyFont="1"/>
    <xf numFmtId="0" fontId="0" fillId="75" borderId="0" xfId="0" applyFill="1"/>
    <xf numFmtId="0" fontId="61" fillId="0" borderId="0" xfId="0" applyFont="1"/>
    <xf numFmtId="0" fontId="0" fillId="76" borderId="0" xfId="0" applyFill="1"/>
    <xf numFmtId="0" fontId="62" fillId="0" borderId="0" xfId="0" applyFont="1"/>
    <xf numFmtId="0" fontId="0" fillId="77" borderId="0" xfId="0" applyFill="1"/>
    <xf numFmtId="0" fontId="63" fillId="0" borderId="0" xfId="0" applyFont="1"/>
    <xf numFmtId="0" fontId="0" fillId="78" borderId="0" xfId="0" applyFill="1"/>
    <xf numFmtId="0" fontId="64" fillId="0" borderId="0" xfId="0" applyFont="1"/>
    <xf numFmtId="0" fontId="0" fillId="79" borderId="0" xfId="0" applyFill="1"/>
    <xf numFmtId="0" fontId="65" fillId="0" borderId="0" xfId="0" applyFont="1"/>
    <xf numFmtId="0" fontId="0" fillId="80" borderId="0" xfId="0" applyFill="1"/>
    <xf numFmtId="0" fontId="66" fillId="0" borderId="0" xfId="0" applyFont="1"/>
    <xf numFmtId="0" fontId="0" fillId="81" borderId="0" xfId="0" applyFill="1"/>
    <xf numFmtId="0" fontId="67" fillId="0" borderId="0" xfId="0" applyFont="1"/>
    <xf numFmtId="0" fontId="0" fillId="82" borderId="0" xfId="0" applyFill="1"/>
    <xf numFmtId="0" fontId="68" fillId="0" borderId="0" xfId="0" applyFont="1"/>
    <xf numFmtId="0" fontId="0" fillId="83" borderId="0" xfId="0" applyFill="1"/>
    <xf numFmtId="0" fontId="69" fillId="0" borderId="0" xfId="0" applyFont="1"/>
    <xf numFmtId="0" fontId="0" fillId="84" borderId="0" xfId="0" applyFill="1"/>
    <xf numFmtId="0" fontId="70" fillId="0" borderId="0" xfId="0" applyFont="1"/>
    <xf numFmtId="0" fontId="0" fillId="85" borderId="0" xfId="0" applyFill="1"/>
    <xf numFmtId="0" fontId="71" fillId="0" borderId="0" xfId="0" applyFont="1"/>
    <xf numFmtId="0" fontId="0" fillId="86" borderId="0" xfId="0" applyFill="1"/>
    <xf numFmtId="0" fontId="72" fillId="0" borderId="0" xfId="0" applyFont="1"/>
    <xf numFmtId="0" fontId="0" fillId="87" borderId="0" xfId="0" applyFill="1"/>
    <xf numFmtId="0" fontId="73" fillId="0" borderId="0" xfId="0" applyFont="1"/>
    <xf numFmtId="0" fontId="0" fillId="88" borderId="0" xfId="0" applyFill="1"/>
    <xf numFmtId="0" fontId="74" fillId="0" borderId="0" xfId="0" applyFont="1"/>
    <xf numFmtId="0" fontId="76" fillId="0" borderId="0" xfId="0" applyFont="1"/>
    <xf numFmtId="0" fontId="0" fillId="92" borderId="0" xfId="0" applyFill="1"/>
    <xf numFmtId="0" fontId="0" fillId="92" borderId="0" xfId="0" applyFill="1" applyAlignment="1">
      <alignment horizontal="center"/>
    </xf>
    <xf numFmtId="0" fontId="81" fillId="92" borderId="0" xfId="0" applyFont="1" applyFill="1"/>
    <xf numFmtId="0" fontId="79" fillId="0" borderId="0" xfId="0" applyFont="1" applyProtection="1">
      <protection locked="0"/>
    </xf>
    <xf numFmtId="0" fontId="75" fillId="89" borderId="0" xfId="0" applyFont="1" applyFill="1" applyAlignment="1" applyProtection="1">
      <alignment horizontal="center"/>
      <protection locked="0"/>
    </xf>
    <xf numFmtId="0" fontId="75" fillId="90" borderId="0" xfId="0" applyFont="1" applyFill="1" applyAlignment="1" applyProtection="1">
      <alignment horizontal="center"/>
      <protection locked="0"/>
    </xf>
    <xf numFmtId="0" fontId="75" fillId="91" borderId="0" xfId="0" applyFont="1" applyFill="1" applyAlignment="1" applyProtection="1">
      <alignment horizontal="center"/>
      <protection locked="0"/>
    </xf>
    <xf numFmtId="0" fontId="0" fillId="93" borderId="0" xfId="0" applyFill="1"/>
    <xf numFmtId="0" fontId="0" fillId="0" borderId="0" xfId="0" applyBorder="1"/>
    <xf numFmtId="0" fontId="82" fillId="0" borderId="0" xfId="0" applyFont="1" applyBorder="1"/>
    <xf numFmtId="0" fontId="82" fillId="0" borderId="0" xfId="0" applyFont="1" applyBorder="1" applyAlignment="1">
      <alignment horizontal="left" vertical="top" wrapText="1" indent="2"/>
    </xf>
    <xf numFmtId="0" fontId="82" fillId="0" borderId="0" xfId="0" applyFont="1" applyBorder="1"/>
    <xf numFmtId="0" fontId="83" fillId="0" borderId="0" xfId="42" applyBorder="1"/>
    <xf numFmtId="0" fontId="84" fillId="94" borderId="0" xfId="0" applyFont="1" applyFill="1"/>
    <xf numFmtId="0" fontId="77" fillId="94" borderId="0" xfId="0" applyFont="1" applyFill="1"/>
    <xf numFmtId="0" fontId="85" fillId="94" borderId="0" xfId="0" applyFont="1" applyFill="1"/>
    <xf numFmtId="0" fontId="86" fillId="94" borderId="0" xfId="0" applyFont="1" applyFill="1"/>
    <xf numFmtId="0" fontId="87" fillId="0" borderId="0" xfId="0" applyFont="1" applyProtection="1">
      <protection locked="0"/>
    </xf>
    <xf numFmtId="0" fontId="88" fillId="94" borderId="0" xfId="0" applyFont="1" applyFill="1"/>
    <xf numFmtId="0" fontId="89" fillId="94" borderId="0" xfId="0" applyFont="1" applyFill="1"/>
    <xf numFmtId="0" fontId="90" fillId="94" borderId="0" xfId="0" applyFont="1" applyFill="1"/>
    <xf numFmtId="0" fontId="91" fillId="94" borderId="0" xfId="0" applyFont="1" applyFill="1"/>
    <xf numFmtId="0" fontId="80" fillId="96" borderId="0" xfId="0" applyFont="1" applyFill="1"/>
    <xf numFmtId="0" fontId="77" fillId="95" borderId="0" xfId="0" applyFont="1" applyFill="1"/>
    <xf numFmtId="0" fontId="86" fillId="97" borderId="0" xfId="0" applyFont="1" applyFill="1"/>
    <xf numFmtId="0" fontId="92" fillId="94" borderId="0" xfId="0" applyFont="1" applyFill="1"/>
    <xf numFmtId="0" fontId="93" fillId="0" borderId="0" xfId="0" applyFont="1" applyAlignment="1">
      <alignment vertical="top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6FF"/>
      <color rgb="FF00CC00"/>
      <color rgb="FFFF33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171450</xdr:rowOff>
        </xdr:from>
        <xdr:to>
          <xdr:col>9</xdr:col>
          <xdr:colOff>447675</xdr:colOff>
          <xdr:row>2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20</xdr:row>
          <xdr:rowOff>47625</xdr:rowOff>
        </xdr:from>
        <xdr:to>
          <xdr:col>2</xdr:col>
          <xdr:colOff>152400</xdr:colOff>
          <xdr:row>20</xdr:row>
          <xdr:rowOff>276225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6</xdr:row>
          <xdr:rowOff>0</xdr:rowOff>
        </xdr:from>
        <xdr:to>
          <xdr:col>10</xdr:col>
          <xdr:colOff>95250</xdr:colOff>
          <xdr:row>7</xdr:row>
          <xdr:rowOff>28575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cvs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kookma/CB-Fortran-Color-Theme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P62"/>
  <sheetViews>
    <sheetView tabSelected="1" zoomScaleNormal="100" workbookViewId="0">
      <selection activeCell="L7" sqref="L7"/>
    </sheetView>
  </sheetViews>
  <sheetFormatPr defaultRowHeight="15" x14ac:dyDescent="0.25"/>
  <cols>
    <col min="1" max="1" width="36.85546875" bestFit="1" customWidth="1"/>
  </cols>
  <sheetData>
    <row r="1" spans="1:42" x14ac:dyDescent="0.25">
      <c r="A1" s="115" t="s">
        <v>0</v>
      </c>
      <c r="B1" s="115" t="s">
        <v>1</v>
      </c>
      <c r="C1" s="115" t="s">
        <v>2</v>
      </c>
      <c r="D1" s="115" t="s">
        <v>3</v>
      </c>
      <c r="E1" s="115" t="s">
        <v>4</v>
      </c>
      <c r="F1" s="115" t="s">
        <v>5</v>
      </c>
      <c r="G1" s="115" t="s">
        <v>6</v>
      </c>
      <c r="H1" s="115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</row>
    <row r="2" spans="1:42" ht="15.75" x14ac:dyDescent="0.25">
      <c r="A2" s="129" t="s">
        <v>7</v>
      </c>
      <c r="B2" s="119">
        <v>244</v>
      </c>
      <c r="C2" s="119">
        <v>128</v>
      </c>
      <c r="D2" s="119">
        <v>0</v>
      </c>
      <c r="E2" s="119">
        <v>24</v>
      </c>
      <c r="F2" s="119">
        <v>8</v>
      </c>
      <c r="G2" s="119">
        <v>8</v>
      </c>
      <c r="H2" s="115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</row>
    <row r="3" spans="1:42" ht="15.75" x14ac:dyDescent="0.25">
      <c r="A3" s="141" t="s">
        <v>8</v>
      </c>
      <c r="B3" s="133">
        <v>160</v>
      </c>
      <c r="C3" s="133">
        <v>160</v>
      </c>
      <c r="D3" s="133">
        <v>32</v>
      </c>
      <c r="E3" s="133">
        <v>24</v>
      </c>
      <c r="F3" s="133">
        <v>8</v>
      </c>
      <c r="G3" s="133">
        <v>8</v>
      </c>
      <c r="H3" s="115"/>
      <c r="I3" s="124"/>
      <c r="J3" s="124"/>
      <c r="K3" s="124"/>
      <c r="L3" s="124"/>
      <c r="M3" s="124"/>
      <c r="N3" s="124"/>
      <c r="O3" s="124"/>
      <c r="P3" s="124"/>
      <c r="Q3" s="124"/>
      <c r="R3" s="124"/>
      <c r="S3" s="124"/>
      <c r="T3" s="124"/>
      <c r="U3" s="124"/>
      <c r="V3" s="124"/>
      <c r="W3" s="124"/>
      <c r="X3" s="124"/>
      <c r="Y3" s="124"/>
      <c r="Z3" s="124"/>
      <c r="AA3" s="124"/>
      <c r="AB3" s="124"/>
      <c r="AC3" s="124"/>
      <c r="AD3" s="124"/>
      <c r="AE3" s="124"/>
      <c r="AF3" s="124"/>
      <c r="AG3" s="124"/>
      <c r="AH3" s="124"/>
      <c r="AI3" s="124"/>
      <c r="AJ3" s="124"/>
      <c r="AK3" s="124"/>
      <c r="AL3" s="124"/>
      <c r="AM3" s="124"/>
      <c r="AN3" s="124"/>
      <c r="AO3" s="124"/>
      <c r="AP3" s="124"/>
    </row>
    <row r="4" spans="1:42" ht="15.75" x14ac:dyDescent="0.25">
      <c r="A4" s="132" t="s">
        <v>9</v>
      </c>
      <c r="B4" s="119">
        <v>255</v>
      </c>
      <c r="C4" s="119">
        <v>224</v>
      </c>
      <c r="D4" s="119">
        <v>32</v>
      </c>
      <c r="E4" s="119">
        <v>24</v>
      </c>
      <c r="F4" s="119">
        <v>8</v>
      </c>
      <c r="G4" s="119">
        <v>8</v>
      </c>
      <c r="H4" s="115"/>
      <c r="I4" s="127" t="s">
        <v>141</v>
      </c>
      <c r="J4" s="127"/>
      <c r="K4" s="127"/>
      <c r="L4" s="127"/>
      <c r="M4" s="127"/>
      <c r="N4" s="127"/>
      <c r="O4" s="127"/>
      <c r="P4" s="127"/>
      <c r="Q4" s="124"/>
      <c r="R4" s="124"/>
      <c r="S4" s="124"/>
      <c r="T4" s="124"/>
      <c r="U4" s="124"/>
      <c r="V4" s="124"/>
      <c r="W4" s="124"/>
      <c r="X4" s="124"/>
      <c r="Y4" s="124"/>
      <c r="Z4" s="124"/>
      <c r="AA4" s="124"/>
      <c r="AB4" s="124"/>
      <c r="AC4" s="124"/>
      <c r="AD4" s="124"/>
      <c r="AE4" s="124"/>
      <c r="AF4" s="124"/>
      <c r="AG4" s="124"/>
      <c r="AH4" s="124"/>
      <c r="AI4" s="124"/>
      <c r="AJ4" s="124"/>
      <c r="AK4" s="124"/>
      <c r="AL4" s="124"/>
      <c r="AM4" s="124"/>
      <c r="AN4" s="124"/>
      <c r="AO4" s="124"/>
      <c r="AP4" s="124"/>
    </row>
    <row r="5" spans="1:42" ht="15.75" x14ac:dyDescent="0.25">
      <c r="A5" s="132" t="s">
        <v>10</v>
      </c>
      <c r="B5" s="133">
        <v>255</v>
      </c>
      <c r="C5" s="133">
        <v>224</v>
      </c>
      <c r="D5" s="133">
        <v>32</v>
      </c>
      <c r="E5" s="133">
        <v>24</v>
      </c>
      <c r="F5" s="133">
        <v>8</v>
      </c>
      <c r="G5" s="133">
        <v>8</v>
      </c>
      <c r="H5" s="115"/>
      <c r="I5" s="124"/>
      <c r="J5" s="124"/>
      <c r="K5" s="124"/>
      <c r="L5" s="124"/>
      <c r="M5" s="124"/>
      <c r="N5" s="124"/>
      <c r="O5" s="124"/>
      <c r="P5" s="124"/>
      <c r="Q5" s="124"/>
      <c r="R5" s="124"/>
      <c r="S5" s="124"/>
      <c r="T5" s="124"/>
      <c r="U5" s="124"/>
      <c r="V5" s="124"/>
      <c r="W5" s="124"/>
      <c r="X5" s="124"/>
      <c r="Y5" s="124"/>
      <c r="Z5" s="124"/>
      <c r="AA5" s="124"/>
      <c r="AB5" s="124"/>
      <c r="AC5" s="124"/>
      <c r="AD5" s="124"/>
      <c r="AE5" s="124"/>
      <c r="AF5" s="124"/>
      <c r="AG5" s="124"/>
      <c r="AH5" s="124"/>
      <c r="AI5" s="124"/>
      <c r="AJ5" s="124"/>
      <c r="AK5" s="124"/>
      <c r="AL5" s="124"/>
      <c r="AM5" s="124"/>
      <c r="AN5" s="124"/>
      <c r="AO5" s="124"/>
      <c r="AP5" s="124"/>
    </row>
    <row r="6" spans="1:42" ht="15.75" x14ac:dyDescent="0.25">
      <c r="A6" s="132" t="s">
        <v>11</v>
      </c>
      <c r="B6" s="119">
        <v>255</v>
      </c>
      <c r="C6" s="119">
        <v>224</v>
      </c>
      <c r="D6" s="119">
        <v>32</v>
      </c>
      <c r="E6" s="119">
        <v>24</v>
      </c>
      <c r="F6" s="119">
        <v>8</v>
      </c>
      <c r="G6" s="119">
        <v>8</v>
      </c>
      <c r="H6" s="115"/>
      <c r="I6" s="124"/>
      <c r="J6" s="124"/>
      <c r="K6" s="124"/>
      <c r="L6" s="124"/>
      <c r="M6" s="124"/>
      <c r="N6" s="124"/>
      <c r="O6" s="124"/>
      <c r="P6" s="124"/>
      <c r="Q6" s="124"/>
      <c r="R6" s="124"/>
      <c r="S6" s="124"/>
      <c r="T6" s="124"/>
      <c r="U6" s="124"/>
      <c r="V6" s="124"/>
      <c r="W6" s="124"/>
      <c r="X6" s="124"/>
      <c r="Y6" s="124"/>
      <c r="Z6" s="124"/>
      <c r="AA6" s="124"/>
      <c r="AB6" s="124"/>
      <c r="AC6" s="124"/>
      <c r="AD6" s="124"/>
      <c r="AE6" s="124"/>
      <c r="AF6" s="124"/>
      <c r="AG6" s="124"/>
      <c r="AH6" s="124"/>
      <c r="AI6" s="124"/>
      <c r="AJ6" s="124"/>
      <c r="AK6" s="124"/>
      <c r="AL6" s="124"/>
      <c r="AM6" s="124"/>
      <c r="AN6" s="124"/>
      <c r="AO6" s="124"/>
      <c r="AP6" s="124"/>
    </row>
    <row r="7" spans="1:42" ht="15.75" x14ac:dyDescent="0.25">
      <c r="A7" s="134" t="s">
        <v>12</v>
      </c>
      <c r="B7" s="119">
        <v>255</v>
      </c>
      <c r="C7" s="119">
        <v>160</v>
      </c>
      <c r="D7" s="119">
        <v>160</v>
      </c>
      <c r="E7" s="119">
        <v>24</v>
      </c>
      <c r="F7" s="119">
        <v>8</v>
      </c>
      <c r="G7" s="119">
        <v>8</v>
      </c>
      <c r="H7" s="115"/>
      <c r="I7" s="124"/>
      <c r="J7" s="124"/>
      <c r="K7" s="124"/>
      <c r="L7" s="124"/>
      <c r="M7" s="124"/>
      <c r="N7" s="124"/>
      <c r="O7" s="124"/>
      <c r="P7" s="124"/>
      <c r="Q7" s="124"/>
      <c r="R7" s="124"/>
      <c r="S7" s="124"/>
      <c r="T7" s="124"/>
      <c r="U7" s="124"/>
      <c r="V7" s="124"/>
      <c r="W7" s="124"/>
      <c r="X7" s="124"/>
      <c r="Y7" s="124"/>
      <c r="Z7" s="124"/>
      <c r="AA7" s="124"/>
      <c r="AB7" s="124"/>
      <c r="AC7" s="124"/>
      <c r="AD7" s="124"/>
      <c r="AE7" s="124"/>
      <c r="AF7" s="124"/>
      <c r="AG7" s="124"/>
      <c r="AH7" s="124"/>
      <c r="AI7" s="124"/>
      <c r="AJ7" s="124"/>
      <c r="AK7" s="124"/>
      <c r="AL7" s="124"/>
      <c r="AM7" s="124"/>
      <c r="AN7" s="124"/>
      <c r="AO7" s="124"/>
      <c r="AP7" s="124"/>
    </row>
    <row r="8" spans="1:42" ht="15.75" x14ac:dyDescent="0.25">
      <c r="A8" s="135" t="s">
        <v>13</v>
      </c>
      <c r="B8" s="133">
        <v>160</v>
      </c>
      <c r="C8" s="133">
        <v>224</v>
      </c>
      <c r="D8" s="133">
        <v>0</v>
      </c>
      <c r="E8" s="133">
        <v>24</v>
      </c>
      <c r="F8" s="133">
        <v>8</v>
      </c>
      <c r="G8" s="133">
        <v>8</v>
      </c>
      <c r="H8" s="115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  <c r="AA8" s="124"/>
      <c r="AB8" s="124"/>
      <c r="AC8" s="124"/>
      <c r="AD8" s="124"/>
      <c r="AE8" s="124"/>
      <c r="AF8" s="124"/>
      <c r="AG8" s="124"/>
      <c r="AH8" s="124"/>
      <c r="AI8" s="124"/>
      <c r="AJ8" s="124"/>
      <c r="AK8" s="124"/>
      <c r="AL8" s="124"/>
      <c r="AM8" s="124"/>
      <c r="AN8" s="124"/>
      <c r="AO8" s="124"/>
      <c r="AP8" s="124"/>
    </row>
    <row r="9" spans="1:42" ht="15.75" x14ac:dyDescent="0.25">
      <c r="A9" s="130" t="s">
        <v>14</v>
      </c>
      <c r="B9" s="133">
        <v>255</v>
      </c>
      <c r="C9" s="133">
        <v>255</v>
      </c>
      <c r="D9" s="133">
        <v>255</v>
      </c>
      <c r="E9" s="133">
        <v>24</v>
      </c>
      <c r="F9" s="133">
        <v>8</v>
      </c>
      <c r="G9" s="133">
        <v>8</v>
      </c>
      <c r="H9" s="115"/>
      <c r="I9" s="127" t="s">
        <v>140</v>
      </c>
      <c r="J9" s="127"/>
      <c r="K9" s="127"/>
      <c r="L9" s="127"/>
      <c r="M9" s="127"/>
      <c r="N9" s="127"/>
      <c r="O9" s="127"/>
      <c r="P9" s="127"/>
      <c r="Q9" s="124"/>
      <c r="R9" s="124"/>
      <c r="S9" s="124"/>
      <c r="T9" s="124"/>
      <c r="U9" s="124"/>
      <c r="V9" s="124"/>
      <c r="W9" s="124"/>
      <c r="X9" s="124"/>
      <c r="Y9" s="124"/>
      <c r="Z9" s="124"/>
      <c r="AA9" s="124"/>
      <c r="AB9" s="124"/>
      <c r="AC9" s="124"/>
      <c r="AD9" s="124"/>
      <c r="AE9" s="124"/>
      <c r="AF9" s="124"/>
      <c r="AG9" s="124"/>
      <c r="AH9" s="124"/>
      <c r="AI9" s="124"/>
      <c r="AJ9" s="124"/>
      <c r="AK9" s="124"/>
      <c r="AL9" s="124"/>
      <c r="AM9" s="124"/>
      <c r="AN9" s="124"/>
      <c r="AO9" s="124"/>
      <c r="AP9" s="124"/>
    </row>
    <row r="10" spans="1:42" ht="15.75" x14ac:dyDescent="0.25">
      <c r="A10" s="131" t="s">
        <v>15</v>
      </c>
      <c r="B10" s="133">
        <v>160</v>
      </c>
      <c r="C10" s="133">
        <v>64</v>
      </c>
      <c r="D10" s="133">
        <v>32</v>
      </c>
      <c r="E10" s="133">
        <v>24</v>
      </c>
      <c r="F10" s="133">
        <v>8</v>
      </c>
      <c r="G10" s="133">
        <v>8</v>
      </c>
      <c r="H10" s="115"/>
      <c r="I10" s="124"/>
      <c r="J10" s="124"/>
      <c r="K10" s="124"/>
      <c r="L10" s="124"/>
      <c r="M10" s="124"/>
      <c r="N10" s="124"/>
      <c r="O10" s="124"/>
      <c r="P10" s="124"/>
      <c r="Q10" s="124"/>
      <c r="R10" s="124"/>
      <c r="S10" s="124"/>
      <c r="T10" s="124"/>
      <c r="U10" s="124"/>
      <c r="V10" s="124"/>
      <c r="W10" s="124"/>
      <c r="X10" s="124"/>
      <c r="Y10" s="124"/>
      <c r="Z10" s="124"/>
      <c r="AA10" s="124"/>
      <c r="AB10" s="124"/>
      <c r="AC10" s="124"/>
      <c r="AD10" s="124"/>
      <c r="AE10" s="124"/>
      <c r="AF10" s="124"/>
      <c r="AG10" s="124"/>
      <c r="AH10" s="124"/>
      <c r="AI10" s="124"/>
      <c r="AJ10" s="124"/>
      <c r="AK10" s="124"/>
      <c r="AL10" s="124"/>
      <c r="AM10" s="124"/>
      <c r="AN10" s="124"/>
      <c r="AO10" s="124"/>
      <c r="AP10" s="124"/>
    </row>
    <row r="11" spans="1:42" ht="15.75" x14ac:dyDescent="0.25">
      <c r="A11" s="136" t="s">
        <v>16</v>
      </c>
      <c r="B11" s="119">
        <v>64</v>
      </c>
      <c r="C11" s="119">
        <v>192</v>
      </c>
      <c r="D11" s="119">
        <v>32</v>
      </c>
      <c r="E11" s="119">
        <v>24</v>
      </c>
      <c r="F11" s="119">
        <v>8</v>
      </c>
      <c r="G11" s="119">
        <v>8</v>
      </c>
      <c r="H11" s="115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4"/>
      <c r="Z11" s="124"/>
      <c r="AA11" s="124"/>
      <c r="AB11" s="124"/>
      <c r="AC11" s="124"/>
      <c r="AD11" s="124"/>
      <c r="AE11" s="124"/>
      <c r="AF11" s="124"/>
      <c r="AG11" s="124"/>
      <c r="AH11" s="124"/>
      <c r="AI11" s="124"/>
      <c r="AJ11" s="124"/>
      <c r="AK11" s="124"/>
      <c r="AL11" s="124"/>
      <c r="AM11" s="124"/>
      <c r="AN11" s="124"/>
      <c r="AO11" s="124"/>
      <c r="AP11" s="124"/>
    </row>
    <row r="12" spans="1:42" ht="15.75" x14ac:dyDescent="0.25">
      <c r="A12" s="137" t="s">
        <v>17</v>
      </c>
      <c r="B12" s="119">
        <v>255</v>
      </c>
      <c r="C12" s="119">
        <v>16</v>
      </c>
      <c r="D12" s="119">
        <v>0</v>
      </c>
      <c r="E12" s="119">
        <v>24</v>
      </c>
      <c r="F12" s="119">
        <v>8</v>
      </c>
      <c r="G12" s="119">
        <v>8</v>
      </c>
      <c r="H12" s="115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</row>
    <row r="13" spans="1:42" ht="15.75" x14ac:dyDescent="0.25">
      <c r="A13" s="139" t="s">
        <v>18</v>
      </c>
      <c r="B13" s="133">
        <v>255</v>
      </c>
      <c r="C13" s="133">
        <v>255</v>
      </c>
      <c r="D13" s="133">
        <v>255</v>
      </c>
      <c r="E13" s="133">
        <v>96</v>
      </c>
      <c r="F13" s="133">
        <v>32</v>
      </c>
      <c r="G13" s="133">
        <v>32</v>
      </c>
      <c r="H13" s="115"/>
      <c r="I13" s="127" t="s">
        <v>142</v>
      </c>
      <c r="J13" s="127"/>
      <c r="K13" s="127"/>
      <c r="L13" s="127"/>
      <c r="M13" s="127"/>
      <c r="N13" s="127"/>
      <c r="O13" s="127"/>
      <c r="P13" s="127"/>
      <c r="Q13" s="124"/>
      <c r="R13" s="124"/>
      <c r="S13" s="124"/>
      <c r="T13" s="124"/>
      <c r="U13" s="124"/>
      <c r="V13" s="124"/>
      <c r="W13" s="124"/>
      <c r="X13" s="124"/>
      <c r="Y13" s="124"/>
      <c r="Z13" s="124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4"/>
      <c r="AO13" s="124"/>
      <c r="AP13" s="124"/>
    </row>
    <row r="14" spans="1:42" ht="15.75" x14ac:dyDescent="0.25">
      <c r="A14" s="138" t="s">
        <v>19</v>
      </c>
      <c r="B14" s="133">
        <v>64</v>
      </c>
      <c r="C14" s="133">
        <v>128</v>
      </c>
      <c r="D14" s="133">
        <v>128</v>
      </c>
      <c r="E14" s="133">
        <v>64</v>
      </c>
      <c r="F14" s="133">
        <v>16</v>
      </c>
      <c r="G14" s="133">
        <v>16</v>
      </c>
      <c r="H14" s="115"/>
      <c r="I14" s="128" t="s">
        <v>143</v>
      </c>
      <c r="J14" s="127"/>
      <c r="K14" s="127"/>
      <c r="L14" s="127"/>
      <c r="M14" s="127"/>
      <c r="N14" s="127"/>
      <c r="O14" s="127"/>
      <c r="P14" s="127"/>
      <c r="Q14" s="125"/>
      <c r="R14" s="124"/>
      <c r="S14" s="124"/>
      <c r="T14" s="124"/>
      <c r="U14" s="124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24"/>
      <c r="AI14" s="124"/>
      <c r="AJ14" s="124"/>
      <c r="AK14" s="124"/>
      <c r="AL14" s="124"/>
      <c r="AM14" s="124"/>
      <c r="AN14" s="124"/>
      <c r="AO14" s="124"/>
      <c r="AP14" s="124"/>
    </row>
    <row r="15" spans="1:42" ht="15.75" x14ac:dyDescent="0.25">
      <c r="A15" s="132" t="s">
        <v>20</v>
      </c>
      <c r="B15" s="133">
        <v>255</v>
      </c>
      <c r="C15" s="133">
        <v>224</v>
      </c>
      <c r="D15" s="133">
        <v>32</v>
      </c>
      <c r="E15" s="133">
        <v>24</v>
      </c>
      <c r="F15" s="133">
        <v>8</v>
      </c>
      <c r="G15" s="133">
        <v>8</v>
      </c>
      <c r="H15" s="115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  <c r="AF15" s="124"/>
      <c r="AG15" s="124"/>
      <c r="AH15" s="124"/>
      <c r="AI15" s="124"/>
      <c r="AJ15" s="124"/>
      <c r="AK15" s="124"/>
      <c r="AL15" s="124"/>
      <c r="AM15" s="124"/>
      <c r="AN15" s="124"/>
      <c r="AO15" s="124"/>
      <c r="AP15" s="124"/>
    </row>
    <row r="16" spans="1:42" ht="15.75" x14ac:dyDescent="0.25">
      <c r="A16" s="140" t="s">
        <v>21</v>
      </c>
      <c r="B16" s="133">
        <v>255</v>
      </c>
      <c r="C16" s="133">
        <v>224</v>
      </c>
      <c r="D16" s="133">
        <v>32</v>
      </c>
      <c r="E16" s="133">
        <v>224</v>
      </c>
      <c r="F16" s="133">
        <v>32</v>
      </c>
      <c r="G16" s="133">
        <v>8</v>
      </c>
      <c r="H16" s="115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124"/>
      <c r="Z16" s="124"/>
      <c r="AA16" s="124"/>
      <c r="AB16" s="124"/>
      <c r="AC16" s="124"/>
      <c r="AD16" s="124"/>
      <c r="AE16" s="124"/>
      <c r="AF16" s="124"/>
      <c r="AG16" s="124"/>
      <c r="AH16" s="124"/>
      <c r="AI16" s="124"/>
      <c r="AJ16" s="124"/>
      <c r="AK16" s="124"/>
      <c r="AL16" s="124"/>
      <c r="AM16" s="124"/>
      <c r="AN16" s="124"/>
      <c r="AO16" s="124"/>
      <c r="AP16" s="124"/>
    </row>
    <row r="17" spans="1:42" x14ac:dyDescent="0.25"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124"/>
      <c r="V17" s="124"/>
      <c r="W17" s="124"/>
      <c r="X17" s="124"/>
      <c r="Y17" s="124"/>
      <c r="Z17" s="124"/>
      <c r="AA17" s="124"/>
      <c r="AB17" s="124"/>
      <c r="AC17" s="124"/>
      <c r="AD17" s="124"/>
      <c r="AE17" s="124"/>
      <c r="AF17" s="124"/>
      <c r="AG17" s="124"/>
      <c r="AH17" s="124"/>
      <c r="AI17" s="124"/>
      <c r="AJ17" s="124"/>
      <c r="AK17" s="124"/>
      <c r="AL17" s="124"/>
      <c r="AM17" s="124"/>
      <c r="AN17" s="124"/>
      <c r="AO17" s="124"/>
      <c r="AP17" s="124"/>
    </row>
    <row r="18" spans="1:42" x14ac:dyDescent="0.25"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4"/>
      <c r="AO18" s="124"/>
      <c r="AP18" s="124"/>
    </row>
    <row r="19" spans="1:42" x14ac:dyDescent="0.25">
      <c r="A19" t="s">
        <v>146</v>
      </c>
      <c r="B19" s="116"/>
      <c r="C19" s="116"/>
      <c r="D19" s="116"/>
      <c r="E19" s="116"/>
      <c r="F19" s="116"/>
      <c r="G19" s="116"/>
      <c r="H19" s="116"/>
      <c r="I19" s="126" t="s">
        <v>144</v>
      </c>
      <c r="J19" s="126"/>
      <c r="K19" s="126"/>
      <c r="L19" s="126"/>
      <c r="M19" s="126"/>
      <c r="N19" s="126"/>
      <c r="O19" s="126"/>
      <c r="P19" s="126"/>
      <c r="Q19" s="124"/>
      <c r="R19" s="124"/>
      <c r="S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H19" s="124"/>
      <c r="AI19" s="124"/>
      <c r="AJ19" s="124"/>
      <c r="AK19" s="124"/>
      <c r="AL19" s="124"/>
      <c r="AM19" s="124"/>
      <c r="AN19" s="124"/>
      <c r="AO19" s="124"/>
      <c r="AP19" s="124"/>
    </row>
    <row r="20" spans="1:42" x14ac:dyDescent="0.25">
      <c r="A20" s="142" t="s">
        <v>145</v>
      </c>
      <c r="B20" s="116"/>
      <c r="C20" s="116"/>
      <c r="D20" s="117" t="s">
        <v>136</v>
      </c>
      <c r="E20" s="117" t="s">
        <v>137</v>
      </c>
      <c r="F20" s="117" t="s">
        <v>138</v>
      </c>
      <c r="G20" s="116"/>
      <c r="H20" s="116"/>
      <c r="I20" s="126"/>
      <c r="J20" s="126"/>
      <c r="K20" s="126"/>
      <c r="L20" s="126"/>
      <c r="M20" s="126"/>
      <c r="N20" s="126"/>
      <c r="O20" s="126"/>
      <c r="P20" s="126"/>
      <c r="Q20" s="124"/>
      <c r="R20" s="124"/>
      <c r="S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24"/>
      <c r="AI20" s="124"/>
      <c r="AJ20" s="124"/>
      <c r="AK20" s="124"/>
      <c r="AL20" s="124"/>
      <c r="AM20" s="124"/>
      <c r="AN20" s="124"/>
      <c r="AO20" s="124"/>
      <c r="AP20" s="124"/>
    </row>
    <row r="21" spans="1:42" ht="26.25" x14ac:dyDescent="0.4">
      <c r="B21" s="116"/>
      <c r="C21" s="116"/>
      <c r="D21" s="120">
        <v>123</v>
      </c>
      <c r="E21" s="121">
        <v>45</v>
      </c>
      <c r="F21" s="122">
        <v>65</v>
      </c>
      <c r="G21" s="116"/>
      <c r="H21" s="116"/>
      <c r="I21" s="126"/>
      <c r="J21" s="126"/>
      <c r="K21" s="126"/>
      <c r="L21" s="126"/>
      <c r="M21" s="126"/>
      <c r="N21" s="126"/>
      <c r="O21" s="126"/>
      <c r="P21" s="126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</row>
    <row r="22" spans="1:42" x14ac:dyDescent="0.25">
      <c r="B22" s="116"/>
      <c r="C22" s="116"/>
      <c r="D22" s="116"/>
      <c r="E22" s="116"/>
      <c r="F22" s="116"/>
      <c r="G22" s="116"/>
      <c r="H22" s="116"/>
      <c r="I22" s="126"/>
      <c r="J22" s="126"/>
      <c r="K22" s="126"/>
      <c r="L22" s="126"/>
      <c r="M22" s="126"/>
      <c r="N22" s="126"/>
      <c r="O22" s="126"/>
      <c r="P22" s="126"/>
      <c r="Q22" s="124"/>
      <c r="R22" s="124"/>
      <c r="S22" s="124"/>
      <c r="T22" s="124"/>
      <c r="U22" s="124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24"/>
      <c r="AI22" s="124"/>
      <c r="AJ22" s="124"/>
      <c r="AK22" s="124"/>
      <c r="AL22" s="124"/>
      <c r="AM22" s="124"/>
      <c r="AN22" s="124"/>
      <c r="AO22" s="124"/>
      <c r="AP22" s="124"/>
    </row>
    <row r="23" spans="1:42" x14ac:dyDescent="0.25">
      <c r="B23" s="116"/>
      <c r="C23" s="116"/>
      <c r="D23" s="123"/>
      <c r="E23" s="123"/>
      <c r="F23" s="123"/>
      <c r="G23" s="116"/>
      <c r="H23" s="116"/>
      <c r="I23" s="126"/>
      <c r="J23" s="126"/>
      <c r="K23" s="126"/>
      <c r="L23" s="126"/>
      <c r="M23" s="126"/>
      <c r="N23" s="126"/>
      <c r="O23" s="126"/>
      <c r="P23" s="126"/>
      <c r="Q23" s="124"/>
      <c r="R23" s="124"/>
      <c r="S23" s="124"/>
      <c r="T23" s="124"/>
      <c r="U23" s="124"/>
      <c r="V23" s="124"/>
      <c r="W23" s="124"/>
      <c r="X23" s="124"/>
      <c r="Y23" s="124"/>
      <c r="Z23" s="124"/>
      <c r="AA23" s="124"/>
      <c r="AB23" s="124"/>
      <c r="AC23" s="124"/>
      <c r="AD23" s="124"/>
      <c r="AE23" s="124"/>
      <c r="AF23" s="124"/>
      <c r="AG23" s="124"/>
      <c r="AH23" s="124"/>
      <c r="AI23" s="124"/>
      <c r="AJ23" s="124"/>
      <c r="AK23" s="124"/>
      <c r="AL23" s="124"/>
      <c r="AM23" s="124"/>
      <c r="AN23" s="124"/>
      <c r="AO23" s="124"/>
      <c r="AP23" s="124"/>
    </row>
    <row r="24" spans="1:42" x14ac:dyDescent="0.25">
      <c r="B24" s="116"/>
      <c r="C24" s="116"/>
      <c r="D24" s="123"/>
      <c r="E24" s="123"/>
      <c r="F24" s="123"/>
      <c r="G24" s="116"/>
      <c r="H24" s="116"/>
      <c r="I24" s="126"/>
      <c r="J24" s="126"/>
      <c r="K24" s="126"/>
      <c r="L24" s="126"/>
      <c r="M24" s="126"/>
      <c r="N24" s="126"/>
      <c r="O24" s="126"/>
      <c r="P24" s="126"/>
      <c r="Q24" s="124"/>
      <c r="R24" s="124"/>
      <c r="S24" s="124"/>
      <c r="T24" s="124"/>
      <c r="U24" s="124"/>
      <c r="V24" s="124"/>
      <c r="W24" s="124"/>
      <c r="X24" s="124"/>
      <c r="Y24" s="124"/>
      <c r="Z24" s="124"/>
      <c r="AA24" s="124"/>
      <c r="AB24" s="124"/>
      <c r="AC24" s="124"/>
      <c r="AD24" s="124"/>
      <c r="AE24" s="124"/>
      <c r="AF24" s="124"/>
      <c r="AG24" s="124"/>
      <c r="AH24" s="124"/>
      <c r="AI24" s="124"/>
      <c r="AJ24" s="124"/>
      <c r="AK24" s="124"/>
      <c r="AL24" s="124"/>
      <c r="AM24" s="124"/>
      <c r="AN24" s="124"/>
      <c r="AO24" s="124"/>
      <c r="AP24" s="124"/>
    </row>
    <row r="25" spans="1:42" x14ac:dyDescent="0.25">
      <c r="B25" s="116"/>
      <c r="C25" s="116"/>
      <c r="D25" s="116"/>
      <c r="E25" s="116"/>
      <c r="F25" s="116"/>
      <c r="G25" s="116"/>
      <c r="H25" s="116"/>
      <c r="I25" s="126"/>
      <c r="J25" s="126"/>
      <c r="K25" s="126"/>
      <c r="L25" s="126"/>
      <c r="M25" s="126"/>
      <c r="N25" s="126"/>
      <c r="O25" s="126"/>
      <c r="P25" s="126"/>
      <c r="Q25" s="124"/>
      <c r="R25" s="124"/>
      <c r="S25" s="124"/>
      <c r="T25" s="124"/>
      <c r="U25" s="124"/>
      <c r="V25" s="124"/>
      <c r="W25" s="124"/>
      <c r="X25" s="124"/>
      <c r="Y25" s="124"/>
      <c r="Z25" s="124"/>
      <c r="AA25" s="124"/>
      <c r="AB25" s="124"/>
      <c r="AC25" s="124"/>
      <c r="AD25" s="124"/>
      <c r="AE25" s="124"/>
      <c r="AF25" s="124"/>
      <c r="AG25" s="124"/>
      <c r="AH25" s="124"/>
      <c r="AI25" s="124"/>
      <c r="AJ25" s="124"/>
      <c r="AK25" s="124"/>
      <c r="AL25" s="124"/>
      <c r="AM25" s="124"/>
      <c r="AN25" s="124"/>
      <c r="AO25" s="124"/>
      <c r="AP25" s="124"/>
    </row>
    <row r="26" spans="1:42" x14ac:dyDescent="0.25">
      <c r="B26" s="118" t="s">
        <v>139</v>
      </c>
      <c r="C26" s="118"/>
      <c r="D26" s="118"/>
      <c r="E26" s="118"/>
      <c r="F26" s="118"/>
      <c r="G26" s="118"/>
      <c r="H26" s="118"/>
      <c r="I26" s="126"/>
      <c r="J26" s="126"/>
      <c r="K26" s="126"/>
      <c r="L26" s="126"/>
      <c r="M26" s="126"/>
      <c r="N26" s="126"/>
      <c r="O26" s="126"/>
      <c r="P26" s="126"/>
      <c r="Q26" s="124"/>
      <c r="R26" s="124"/>
      <c r="S26" s="124"/>
      <c r="T26" s="124"/>
      <c r="U26" s="124"/>
      <c r="V26" s="124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4"/>
      <c r="AO26" s="124"/>
      <c r="AP26" s="124"/>
    </row>
    <row r="27" spans="1:42" x14ac:dyDescent="0.25"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124"/>
      <c r="Z27" s="124"/>
      <c r="AA27" s="124"/>
      <c r="AB27" s="124"/>
      <c r="AC27" s="124"/>
      <c r="AD27" s="124"/>
      <c r="AE27" s="124"/>
      <c r="AF27" s="124"/>
      <c r="AG27" s="124"/>
      <c r="AH27" s="124"/>
      <c r="AI27" s="124"/>
      <c r="AJ27" s="124"/>
      <c r="AK27" s="124"/>
      <c r="AL27" s="124"/>
      <c r="AM27" s="124"/>
      <c r="AN27" s="124"/>
      <c r="AO27" s="124"/>
      <c r="AP27" s="124"/>
    </row>
    <row r="28" spans="1:42" x14ac:dyDescent="0.25"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124"/>
      <c r="V28" s="124"/>
      <c r="W28" s="124"/>
      <c r="X28" s="124"/>
      <c r="Y28" s="124"/>
      <c r="Z28" s="124"/>
      <c r="AA28" s="124"/>
      <c r="AB28" s="124"/>
      <c r="AC28" s="124"/>
      <c r="AD28" s="124"/>
      <c r="AE28" s="124"/>
      <c r="AF28" s="124"/>
      <c r="AG28" s="124"/>
      <c r="AH28" s="124"/>
      <c r="AI28" s="124"/>
      <c r="AJ28" s="124"/>
      <c r="AK28" s="124"/>
      <c r="AL28" s="124"/>
      <c r="AM28" s="124"/>
      <c r="AN28" s="124"/>
      <c r="AO28" s="124"/>
      <c r="AP28" s="124"/>
    </row>
    <row r="29" spans="1:42" x14ac:dyDescent="0.25"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124"/>
      <c r="V29" s="124"/>
      <c r="W29" s="124"/>
      <c r="X29" s="124"/>
      <c r="Y29" s="124"/>
      <c r="Z29" s="124"/>
      <c r="AA29" s="124"/>
      <c r="AB29" s="124"/>
      <c r="AC29" s="124"/>
      <c r="AD29" s="124"/>
      <c r="AE29" s="124"/>
      <c r="AF29" s="124"/>
      <c r="AG29" s="124"/>
      <c r="AH29" s="124"/>
      <c r="AI29" s="124"/>
      <c r="AJ29" s="124"/>
      <c r="AK29" s="124"/>
      <c r="AL29" s="124"/>
      <c r="AM29" s="124"/>
      <c r="AN29" s="124"/>
      <c r="AO29" s="124"/>
      <c r="AP29" s="124"/>
    </row>
    <row r="30" spans="1:42" x14ac:dyDescent="0.25"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24"/>
      <c r="U30" s="124"/>
      <c r="V30" s="124"/>
      <c r="W30" s="124"/>
      <c r="X30" s="124"/>
      <c r="Y30" s="124"/>
      <c r="Z30" s="124"/>
      <c r="AA30" s="124"/>
      <c r="AB30" s="124"/>
      <c r="AC30" s="124"/>
      <c r="AD30" s="124"/>
      <c r="AE30" s="124"/>
      <c r="AF30" s="124"/>
      <c r="AG30" s="124"/>
      <c r="AH30" s="124"/>
      <c r="AI30" s="124"/>
      <c r="AJ30" s="124"/>
      <c r="AK30" s="124"/>
      <c r="AL30" s="124"/>
      <c r="AM30" s="124"/>
      <c r="AN30" s="124"/>
      <c r="AO30" s="124"/>
      <c r="AP30" s="124"/>
    </row>
    <row r="31" spans="1:42" x14ac:dyDescent="0.25"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4"/>
      <c r="W31" s="124"/>
      <c r="X31" s="124"/>
      <c r="Y31" s="124"/>
      <c r="Z31" s="124"/>
      <c r="AA31" s="124"/>
      <c r="AB31" s="124"/>
      <c r="AC31" s="124"/>
      <c r="AD31" s="124"/>
      <c r="AE31" s="124"/>
      <c r="AF31" s="124"/>
      <c r="AG31" s="124"/>
      <c r="AH31" s="124"/>
      <c r="AI31" s="124"/>
      <c r="AJ31" s="124"/>
      <c r="AK31" s="124"/>
      <c r="AL31" s="124"/>
      <c r="AM31" s="124"/>
      <c r="AN31" s="124"/>
      <c r="AO31" s="124"/>
      <c r="AP31" s="124"/>
    </row>
    <row r="32" spans="1:42" x14ac:dyDescent="0.25"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24"/>
      <c r="U32" s="124"/>
      <c r="V32" s="124"/>
      <c r="W32" s="124"/>
      <c r="X32" s="124"/>
      <c r="Y32" s="124"/>
      <c r="Z32" s="124"/>
      <c r="AA32" s="124"/>
      <c r="AB32" s="124"/>
      <c r="AC32" s="124"/>
      <c r="AD32" s="124"/>
      <c r="AE32" s="124"/>
      <c r="AF32" s="124"/>
      <c r="AG32" s="124"/>
      <c r="AH32" s="124"/>
      <c r="AI32" s="124"/>
      <c r="AJ32" s="124"/>
      <c r="AK32" s="124"/>
      <c r="AL32" s="124"/>
      <c r="AM32" s="124"/>
      <c r="AN32" s="124"/>
      <c r="AO32" s="124"/>
      <c r="AP32" s="124"/>
    </row>
    <row r="33" spans="9:42" x14ac:dyDescent="0.25"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</row>
    <row r="34" spans="9:42" x14ac:dyDescent="0.25"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24"/>
      <c r="V34" s="124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24"/>
      <c r="AI34" s="124"/>
      <c r="AJ34" s="124"/>
      <c r="AK34" s="124"/>
      <c r="AL34" s="124"/>
      <c r="AM34" s="124"/>
      <c r="AN34" s="124"/>
      <c r="AO34" s="124"/>
      <c r="AP34" s="124"/>
    </row>
    <row r="35" spans="9:42" x14ac:dyDescent="0.25"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  <c r="AH35" s="124"/>
      <c r="AI35" s="124"/>
      <c r="AJ35" s="124"/>
      <c r="AK35" s="124"/>
      <c r="AL35" s="124"/>
      <c r="AM35" s="124"/>
      <c r="AN35" s="124"/>
      <c r="AO35" s="124"/>
      <c r="AP35" s="124"/>
    </row>
    <row r="36" spans="9:42" x14ac:dyDescent="0.25"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124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24"/>
      <c r="AJ36" s="124"/>
      <c r="AK36" s="124"/>
      <c r="AL36" s="124"/>
      <c r="AM36" s="124"/>
      <c r="AN36" s="124"/>
      <c r="AO36" s="124"/>
      <c r="AP36" s="124"/>
    </row>
    <row r="37" spans="9:42" x14ac:dyDescent="0.25"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</row>
    <row r="38" spans="9:42" x14ac:dyDescent="0.25"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/>
      <c r="T38" s="124"/>
      <c r="U38" s="124"/>
      <c r="V38" s="124"/>
      <c r="W38" s="124"/>
      <c r="X38" s="124"/>
      <c r="Y38" s="124"/>
      <c r="Z38" s="124"/>
      <c r="AA38" s="124"/>
      <c r="AB38" s="124"/>
      <c r="AC38" s="124"/>
      <c r="AD38" s="124"/>
      <c r="AE38" s="124"/>
      <c r="AF38" s="124"/>
      <c r="AG38" s="124"/>
      <c r="AH38" s="124"/>
      <c r="AI38" s="124"/>
      <c r="AJ38" s="124"/>
      <c r="AK38" s="124"/>
      <c r="AL38" s="124"/>
      <c r="AM38" s="124"/>
      <c r="AN38" s="124"/>
      <c r="AO38" s="124"/>
      <c r="AP38" s="124"/>
    </row>
    <row r="39" spans="9:42" x14ac:dyDescent="0.25"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124"/>
      <c r="T39" s="124"/>
      <c r="U39" s="124"/>
      <c r="V39" s="124"/>
      <c r="W39" s="124"/>
      <c r="X39" s="124"/>
      <c r="Y39" s="124"/>
      <c r="Z39" s="124"/>
      <c r="AA39" s="124"/>
      <c r="AB39" s="124"/>
      <c r="AC39" s="124"/>
      <c r="AD39" s="124"/>
      <c r="AE39" s="124"/>
      <c r="AF39" s="124"/>
      <c r="AG39" s="124"/>
      <c r="AH39" s="124"/>
      <c r="AI39" s="124"/>
      <c r="AJ39" s="124"/>
      <c r="AK39" s="124"/>
      <c r="AL39" s="124"/>
      <c r="AM39" s="124"/>
      <c r="AN39" s="124"/>
      <c r="AO39" s="124"/>
      <c r="AP39" s="124"/>
    </row>
    <row r="40" spans="9:42" x14ac:dyDescent="0.25"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124"/>
      <c r="U40" s="124"/>
      <c r="V40" s="124"/>
      <c r="W40" s="124"/>
      <c r="X40" s="124"/>
      <c r="Y40" s="124"/>
      <c r="Z40" s="124"/>
      <c r="AA40" s="124"/>
      <c r="AB40" s="124"/>
      <c r="AC40" s="124"/>
      <c r="AD40" s="124"/>
      <c r="AE40" s="124"/>
      <c r="AF40" s="124"/>
      <c r="AG40" s="124"/>
      <c r="AH40" s="124"/>
      <c r="AI40" s="124"/>
      <c r="AJ40" s="124"/>
      <c r="AK40" s="124"/>
      <c r="AL40" s="124"/>
      <c r="AM40" s="124"/>
      <c r="AN40" s="124"/>
      <c r="AO40" s="124"/>
      <c r="AP40" s="124"/>
    </row>
    <row r="41" spans="9:42" x14ac:dyDescent="0.25"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</row>
    <row r="42" spans="9:42" x14ac:dyDescent="0.25"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124"/>
      <c r="U42" s="124"/>
      <c r="V42" s="124"/>
      <c r="W42" s="124"/>
      <c r="X42" s="124"/>
      <c r="Y42" s="124"/>
      <c r="Z42" s="124"/>
      <c r="AA42" s="124"/>
      <c r="AB42" s="124"/>
      <c r="AC42" s="124"/>
      <c r="AD42" s="124"/>
      <c r="AE42" s="124"/>
      <c r="AF42" s="124"/>
      <c r="AG42" s="124"/>
      <c r="AH42" s="124"/>
      <c r="AI42" s="124"/>
      <c r="AJ42" s="124"/>
      <c r="AK42" s="124"/>
      <c r="AL42" s="124"/>
      <c r="AM42" s="124"/>
      <c r="AN42" s="124"/>
      <c r="AO42" s="124"/>
      <c r="AP42" s="124"/>
    </row>
    <row r="43" spans="9:42" x14ac:dyDescent="0.25"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124"/>
      <c r="U43" s="124"/>
      <c r="V43" s="124"/>
      <c r="W43" s="124"/>
      <c r="X43" s="124"/>
      <c r="Y43" s="124"/>
      <c r="Z43" s="124"/>
      <c r="AA43" s="124"/>
      <c r="AB43" s="124"/>
      <c r="AC43" s="124"/>
      <c r="AD43" s="124"/>
      <c r="AE43" s="124"/>
      <c r="AF43" s="124"/>
      <c r="AG43" s="124"/>
      <c r="AH43" s="124"/>
      <c r="AI43" s="124"/>
      <c r="AJ43" s="124"/>
      <c r="AK43" s="124"/>
      <c r="AL43" s="124"/>
      <c r="AM43" s="124"/>
      <c r="AN43" s="124"/>
      <c r="AO43" s="124"/>
      <c r="AP43" s="124"/>
    </row>
    <row r="44" spans="9:42" x14ac:dyDescent="0.25"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124"/>
      <c r="T44" s="124"/>
      <c r="U44" s="124"/>
      <c r="V44" s="124"/>
      <c r="W44" s="124"/>
      <c r="X44" s="124"/>
      <c r="Y44" s="124"/>
      <c r="Z44" s="124"/>
      <c r="AA44" s="124"/>
      <c r="AB44" s="124"/>
      <c r="AC44" s="124"/>
      <c r="AD44" s="124"/>
      <c r="AE44" s="124"/>
      <c r="AF44" s="124"/>
      <c r="AG44" s="124"/>
      <c r="AH44" s="124"/>
      <c r="AI44" s="124"/>
      <c r="AJ44" s="124"/>
      <c r="AK44" s="124"/>
      <c r="AL44" s="124"/>
      <c r="AM44" s="124"/>
      <c r="AN44" s="124"/>
      <c r="AO44" s="124"/>
      <c r="AP44" s="124"/>
    </row>
    <row r="45" spans="9:42" x14ac:dyDescent="0.25"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</row>
    <row r="46" spans="9:42" x14ac:dyDescent="0.25"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24"/>
      <c r="T46" s="124"/>
      <c r="U46" s="124"/>
      <c r="V46" s="124"/>
      <c r="W46" s="124"/>
      <c r="X46" s="124"/>
      <c r="Y46" s="124"/>
      <c r="Z46" s="124"/>
      <c r="AA46" s="124"/>
      <c r="AB46" s="124"/>
      <c r="AC46" s="124"/>
      <c r="AD46" s="124"/>
      <c r="AE46" s="124"/>
      <c r="AF46" s="124"/>
      <c r="AG46" s="124"/>
      <c r="AH46" s="124"/>
      <c r="AI46" s="124"/>
      <c r="AJ46" s="124"/>
      <c r="AK46" s="124"/>
      <c r="AL46" s="124"/>
      <c r="AM46" s="124"/>
      <c r="AN46" s="124"/>
      <c r="AO46" s="124"/>
      <c r="AP46" s="124"/>
    </row>
    <row r="47" spans="9:42" x14ac:dyDescent="0.25"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124"/>
      <c r="AG47" s="124"/>
      <c r="AH47" s="124"/>
      <c r="AI47" s="124"/>
      <c r="AJ47" s="124"/>
      <c r="AK47" s="124"/>
      <c r="AL47" s="124"/>
      <c r="AM47" s="124"/>
      <c r="AN47" s="124"/>
      <c r="AO47" s="124"/>
      <c r="AP47" s="124"/>
    </row>
    <row r="48" spans="9:42" x14ac:dyDescent="0.25"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124"/>
      <c r="U48" s="124"/>
      <c r="V48" s="124"/>
      <c r="W48" s="124"/>
      <c r="X48" s="124"/>
      <c r="Y48" s="124"/>
      <c r="Z48" s="124"/>
      <c r="AA48" s="124"/>
      <c r="AB48" s="124"/>
      <c r="AC48" s="124"/>
      <c r="AD48" s="124"/>
      <c r="AE48" s="124"/>
      <c r="AF48" s="124"/>
      <c r="AG48" s="124"/>
      <c r="AH48" s="124"/>
      <c r="AI48" s="124"/>
      <c r="AJ48" s="124"/>
      <c r="AK48" s="124"/>
      <c r="AL48" s="124"/>
      <c r="AM48" s="124"/>
      <c r="AN48" s="124"/>
      <c r="AO48" s="124"/>
      <c r="AP48" s="124"/>
    </row>
    <row r="49" spans="9:42" x14ac:dyDescent="0.25"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124"/>
      <c r="U49" s="124"/>
      <c r="V49" s="124"/>
      <c r="W49" s="124"/>
      <c r="X49" s="124"/>
      <c r="Y49" s="124"/>
      <c r="Z49" s="124"/>
      <c r="AA49" s="124"/>
      <c r="AB49" s="124"/>
      <c r="AC49" s="124"/>
      <c r="AD49" s="124"/>
      <c r="AE49" s="124"/>
      <c r="AF49" s="124"/>
      <c r="AG49" s="124"/>
      <c r="AH49" s="124"/>
      <c r="AI49" s="124"/>
      <c r="AJ49" s="124"/>
      <c r="AK49" s="124"/>
      <c r="AL49" s="124"/>
      <c r="AM49" s="124"/>
      <c r="AN49" s="124"/>
      <c r="AO49" s="124"/>
      <c r="AP49" s="124"/>
    </row>
    <row r="50" spans="9:42" x14ac:dyDescent="0.25"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124"/>
      <c r="U50" s="124"/>
      <c r="V50" s="124"/>
      <c r="W50" s="124"/>
      <c r="X50" s="124"/>
      <c r="Y50" s="124"/>
      <c r="Z50" s="124"/>
      <c r="AA50" s="124"/>
      <c r="AB50" s="124"/>
      <c r="AC50" s="124"/>
      <c r="AD50" s="124"/>
      <c r="AE50" s="124"/>
      <c r="AF50" s="124"/>
      <c r="AG50" s="124"/>
      <c r="AH50" s="124"/>
      <c r="AI50" s="124"/>
      <c r="AJ50" s="124"/>
      <c r="AK50" s="124"/>
      <c r="AL50" s="124"/>
      <c r="AM50" s="124"/>
      <c r="AN50" s="124"/>
      <c r="AO50" s="124"/>
      <c r="AP50" s="124"/>
    </row>
    <row r="51" spans="9:42" x14ac:dyDescent="0.25">
      <c r="I51" s="124"/>
      <c r="J51" s="124"/>
      <c r="K51" s="124"/>
      <c r="L51" s="124"/>
      <c r="M51" s="124"/>
      <c r="N51" s="124"/>
      <c r="O51" s="124"/>
      <c r="P51" s="124"/>
      <c r="Q51" s="124"/>
      <c r="R51" s="124"/>
      <c r="S51" s="124"/>
      <c r="T51" s="124"/>
      <c r="U51" s="124"/>
      <c r="V51" s="124"/>
      <c r="W51" s="124"/>
      <c r="X51" s="124"/>
      <c r="Y51" s="124"/>
      <c r="Z51" s="124"/>
      <c r="AA51" s="124"/>
      <c r="AB51" s="124"/>
      <c r="AC51" s="124"/>
      <c r="AD51" s="124"/>
      <c r="AE51" s="124"/>
      <c r="AF51" s="124"/>
      <c r="AG51" s="124"/>
      <c r="AH51" s="124"/>
      <c r="AI51" s="124"/>
      <c r="AJ51" s="124"/>
      <c r="AK51" s="124"/>
      <c r="AL51" s="124"/>
      <c r="AM51" s="124"/>
      <c r="AN51" s="124"/>
      <c r="AO51" s="124"/>
      <c r="AP51" s="124"/>
    </row>
    <row r="52" spans="9:42" x14ac:dyDescent="0.25">
      <c r="I52" s="124"/>
      <c r="J52" s="124"/>
      <c r="K52" s="124"/>
      <c r="L52" s="124"/>
      <c r="M52" s="124"/>
      <c r="N52" s="124"/>
      <c r="O52" s="124"/>
      <c r="P52" s="124"/>
      <c r="Q52" s="124"/>
      <c r="R52" s="124"/>
      <c r="S52" s="124"/>
      <c r="T52" s="124"/>
      <c r="U52" s="124"/>
      <c r="V52" s="124"/>
      <c r="W52" s="124"/>
      <c r="X52" s="124"/>
      <c r="Y52" s="124"/>
      <c r="Z52" s="124"/>
      <c r="AA52" s="124"/>
      <c r="AB52" s="124"/>
      <c r="AC52" s="124"/>
      <c r="AD52" s="124"/>
      <c r="AE52" s="124"/>
      <c r="AF52" s="124"/>
      <c r="AG52" s="124"/>
      <c r="AH52" s="124"/>
      <c r="AI52" s="124"/>
      <c r="AJ52" s="124"/>
      <c r="AK52" s="124"/>
      <c r="AL52" s="124"/>
      <c r="AM52" s="124"/>
      <c r="AN52" s="124"/>
      <c r="AO52" s="124"/>
      <c r="AP52" s="124"/>
    </row>
    <row r="53" spans="9:42" x14ac:dyDescent="0.25">
      <c r="I53" s="124"/>
      <c r="J53" s="124"/>
      <c r="K53" s="124"/>
      <c r="L53" s="124"/>
      <c r="M53" s="124"/>
      <c r="N53" s="124"/>
      <c r="O53" s="124"/>
      <c r="P53" s="124"/>
      <c r="Q53" s="124"/>
      <c r="R53" s="124"/>
      <c r="S53" s="124"/>
      <c r="T53" s="124"/>
      <c r="U53" s="124"/>
      <c r="V53" s="124"/>
      <c r="W53" s="124"/>
      <c r="X53" s="124"/>
      <c r="Y53" s="124"/>
      <c r="Z53" s="124"/>
      <c r="AA53" s="124"/>
      <c r="AB53" s="124"/>
      <c r="AC53" s="124"/>
      <c r="AD53" s="124"/>
      <c r="AE53" s="124"/>
      <c r="AF53" s="124"/>
      <c r="AG53" s="124"/>
      <c r="AH53" s="124"/>
      <c r="AI53" s="124"/>
      <c r="AJ53" s="124"/>
      <c r="AK53" s="124"/>
      <c r="AL53" s="124"/>
      <c r="AM53" s="124"/>
      <c r="AN53" s="124"/>
      <c r="AO53" s="124"/>
      <c r="AP53" s="124"/>
    </row>
    <row r="54" spans="9:42" x14ac:dyDescent="0.25">
      <c r="I54" s="124"/>
      <c r="J54" s="124"/>
      <c r="K54" s="124"/>
      <c r="L54" s="124"/>
      <c r="M54" s="124"/>
      <c r="N54" s="124"/>
      <c r="O54" s="124"/>
      <c r="P54" s="124"/>
      <c r="Q54" s="124"/>
      <c r="R54" s="124"/>
      <c r="S54" s="124"/>
      <c r="T54" s="124"/>
      <c r="U54" s="124"/>
      <c r="V54" s="124"/>
      <c r="W54" s="124"/>
      <c r="X54" s="124"/>
      <c r="Y54" s="124"/>
      <c r="Z54" s="124"/>
      <c r="AA54" s="124"/>
      <c r="AB54" s="124"/>
      <c r="AC54" s="124"/>
      <c r="AD54" s="124"/>
      <c r="AE54" s="124"/>
      <c r="AF54" s="124"/>
      <c r="AG54" s="124"/>
      <c r="AH54" s="124"/>
      <c r="AI54" s="124"/>
      <c r="AJ54" s="124"/>
      <c r="AK54" s="124"/>
      <c r="AL54" s="124"/>
      <c r="AM54" s="124"/>
      <c r="AN54" s="124"/>
      <c r="AO54" s="124"/>
      <c r="AP54" s="124"/>
    </row>
    <row r="55" spans="9:42" x14ac:dyDescent="0.25"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/>
      <c r="T55" s="124"/>
      <c r="U55" s="124"/>
      <c r="V55" s="124"/>
      <c r="W55" s="124"/>
      <c r="X55" s="124"/>
      <c r="Y55" s="124"/>
      <c r="Z55" s="124"/>
      <c r="AA55" s="124"/>
      <c r="AB55" s="124"/>
      <c r="AC55" s="124"/>
      <c r="AD55" s="124"/>
      <c r="AE55" s="124"/>
      <c r="AF55" s="124"/>
      <c r="AG55" s="124"/>
      <c r="AH55" s="124"/>
      <c r="AI55" s="124"/>
      <c r="AJ55" s="124"/>
      <c r="AK55" s="124"/>
      <c r="AL55" s="124"/>
      <c r="AM55" s="124"/>
      <c r="AN55" s="124"/>
      <c r="AO55" s="124"/>
      <c r="AP55" s="124"/>
    </row>
    <row r="56" spans="9:42" x14ac:dyDescent="0.25"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  <c r="T56" s="124"/>
      <c r="U56" s="124"/>
      <c r="V56" s="124"/>
      <c r="W56" s="124"/>
      <c r="X56" s="124"/>
      <c r="Y56" s="124"/>
      <c r="Z56" s="124"/>
      <c r="AA56" s="124"/>
      <c r="AB56" s="124"/>
      <c r="AC56" s="124"/>
      <c r="AD56" s="124"/>
      <c r="AE56" s="124"/>
      <c r="AF56" s="124"/>
      <c r="AG56" s="124"/>
      <c r="AH56" s="124"/>
      <c r="AI56" s="124"/>
      <c r="AJ56" s="124"/>
      <c r="AK56" s="124"/>
      <c r="AL56" s="124"/>
      <c r="AM56" s="124"/>
      <c r="AN56" s="124"/>
      <c r="AO56" s="124"/>
      <c r="AP56" s="124"/>
    </row>
    <row r="57" spans="9:42" x14ac:dyDescent="0.25"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124"/>
      <c r="U57" s="124"/>
      <c r="V57" s="124"/>
      <c r="W57" s="124"/>
      <c r="X57" s="124"/>
      <c r="Y57" s="124"/>
      <c r="Z57" s="124"/>
      <c r="AA57" s="124"/>
      <c r="AB57" s="124"/>
      <c r="AC57" s="124"/>
      <c r="AD57" s="124"/>
      <c r="AE57" s="124"/>
      <c r="AF57" s="124"/>
      <c r="AG57" s="124"/>
      <c r="AH57" s="124"/>
      <c r="AI57" s="124"/>
      <c r="AJ57" s="124"/>
      <c r="AK57" s="124"/>
      <c r="AL57" s="124"/>
      <c r="AM57" s="124"/>
      <c r="AN57" s="124"/>
      <c r="AO57" s="124"/>
      <c r="AP57" s="124"/>
    </row>
    <row r="58" spans="9:42" x14ac:dyDescent="0.25"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124"/>
      <c r="T58" s="124"/>
      <c r="U58" s="124"/>
      <c r="V58" s="124"/>
      <c r="W58" s="124"/>
      <c r="X58" s="124"/>
      <c r="Y58" s="124"/>
      <c r="Z58" s="124"/>
      <c r="AA58" s="124"/>
      <c r="AB58" s="124"/>
      <c r="AC58" s="124"/>
      <c r="AD58" s="124"/>
      <c r="AE58" s="124"/>
      <c r="AF58" s="124"/>
      <c r="AG58" s="124"/>
      <c r="AH58" s="124"/>
      <c r="AI58" s="124"/>
      <c r="AJ58" s="124"/>
      <c r="AK58" s="124"/>
      <c r="AL58" s="124"/>
      <c r="AM58" s="124"/>
      <c r="AN58" s="124"/>
      <c r="AO58" s="124"/>
      <c r="AP58" s="124"/>
    </row>
    <row r="59" spans="9:42" x14ac:dyDescent="0.25"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/>
      <c r="T59" s="124"/>
      <c r="U59" s="124"/>
      <c r="V59" s="124"/>
      <c r="W59" s="124"/>
      <c r="X59" s="124"/>
      <c r="Y59" s="124"/>
      <c r="Z59" s="124"/>
      <c r="AA59" s="124"/>
      <c r="AB59" s="124"/>
      <c r="AC59" s="124"/>
      <c r="AD59" s="124"/>
      <c r="AE59" s="124"/>
      <c r="AF59" s="124"/>
      <c r="AG59" s="124"/>
      <c r="AH59" s="124"/>
      <c r="AI59" s="124"/>
      <c r="AJ59" s="124"/>
      <c r="AK59" s="124"/>
      <c r="AL59" s="124"/>
      <c r="AM59" s="124"/>
      <c r="AN59" s="124"/>
      <c r="AO59" s="124"/>
      <c r="AP59" s="124"/>
    </row>
    <row r="60" spans="9:42" x14ac:dyDescent="0.25"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124"/>
      <c r="T60" s="124"/>
      <c r="U60" s="124"/>
      <c r="V60" s="124"/>
      <c r="W60" s="124"/>
      <c r="X60" s="124"/>
      <c r="Y60" s="124"/>
      <c r="Z60" s="124"/>
      <c r="AA60" s="124"/>
      <c r="AB60" s="124"/>
      <c r="AC60" s="124"/>
      <c r="AD60" s="124"/>
      <c r="AE60" s="124"/>
      <c r="AF60" s="124"/>
      <c r="AG60" s="124"/>
      <c r="AH60" s="124"/>
      <c r="AI60" s="124"/>
      <c r="AJ60" s="124"/>
      <c r="AK60" s="124"/>
      <c r="AL60" s="124"/>
      <c r="AM60" s="124"/>
      <c r="AN60" s="124"/>
      <c r="AO60" s="124"/>
      <c r="AP60" s="124"/>
    </row>
    <row r="61" spans="9:42" x14ac:dyDescent="0.25"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124"/>
      <c r="T61" s="124"/>
      <c r="U61" s="124"/>
      <c r="V61" s="124"/>
      <c r="W61" s="124"/>
      <c r="X61" s="124"/>
      <c r="Y61" s="124"/>
      <c r="Z61" s="124"/>
      <c r="AA61" s="124"/>
      <c r="AB61" s="124"/>
      <c r="AC61" s="124"/>
      <c r="AD61" s="124"/>
      <c r="AE61" s="124"/>
      <c r="AF61" s="124"/>
      <c r="AG61" s="124"/>
      <c r="AH61" s="124"/>
      <c r="AI61" s="124"/>
      <c r="AJ61" s="124"/>
      <c r="AK61" s="124"/>
      <c r="AL61" s="124"/>
      <c r="AM61" s="124"/>
      <c r="AN61" s="124"/>
      <c r="AO61" s="124"/>
      <c r="AP61" s="124"/>
    </row>
    <row r="62" spans="9:42" x14ac:dyDescent="0.25"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124"/>
      <c r="T62" s="124"/>
      <c r="U62" s="124"/>
      <c r="V62" s="124"/>
      <c r="W62" s="124"/>
      <c r="X62" s="124"/>
      <c r="Y62" s="124"/>
      <c r="Z62" s="124"/>
      <c r="AA62" s="124"/>
      <c r="AB62" s="124"/>
      <c r="AC62" s="124"/>
      <c r="AD62" s="124"/>
      <c r="AE62" s="124"/>
      <c r="AF62" s="124"/>
      <c r="AG62" s="124"/>
      <c r="AH62" s="124"/>
      <c r="AI62" s="124"/>
      <c r="AJ62" s="124"/>
      <c r="AK62" s="124"/>
      <c r="AL62" s="124"/>
      <c r="AM62" s="124"/>
      <c r="AN62" s="124"/>
      <c r="AO62" s="124"/>
      <c r="AP62" s="124"/>
    </row>
  </sheetData>
  <sheetProtection selectLockedCells="1"/>
  <mergeCells count="5">
    <mergeCell ref="I19:P26"/>
    <mergeCell ref="I9:P9"/>
    <mergeCell ref="I4:P4"/>
    <mergeCell ref="I13:P13"/>
    <mergeCell ref="I14:P14"/>
  </mergeCells>
  <dataValidations disablePrompts="1" count="1">
    <dataValidation type="whole" allowBlank="1" showInputMessage="1" showErrorMessage="1" sqref="D21">
      <formula1>0</formula1>
      <formula2>255</formula2>
    </dataValidation>
  </dataValidations>
  <hyperlinks>
    <hyperlink ref="I14" r:id="rId1"/>
  </hyperlinks>
  <pageMargins left="0.7" right="0.7" top="0.75" bottom="0.75" header="0.3" footer="0.3"/>
  <pageSetup paperSize="9"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gb_color">
                <anchor moveWithCells="1" sizeWithCells="1">
                  <from>
                    <xdr:col>8</xdr:col>
                    <xdr:colOff>9525</xdr:colOff>
                    <xdr:row>0</xdr:row>
                    <xdr:rowOff>171450</xdr:rowOff>
                  </from>
                  <to>
                    <xdr:col>9</xdr:col>
                    <xdr:colOff>447675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choose_color">
                <anchor moveWithCells="1" sizeWithCells="1">
                  <from>
                    <xdr:col>1</xdr:col>
                    <xdr:colOff>133350</xdr:colOff>
                    <xdr:row>20</xdr:row>
                    <xdr:rowOff>47625</xdr:rowOff>
                  </from>
                  <to>
                    <xdr:col>2</xdr:col>
                    <xdr:colOff>152400</xdr:colOff>
                    <xdr:row>20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ExportSheetsToCSV">
                <anchor moveWithCells="1" sizeWithCells="1">
                  <from>
                    <xdr:col>8</xdr:col>
                    <xdr:colOff>9525</xdr:colOff>
                    <xdr:row>6</xdr:row>
                    <xdr:rowOff>0</xdr:rowOff>
                  </from>
                  <to>
                    <xdr:col>10</xdr:col>
                    <xdr:colOff>95250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57"/>
  <sheetViews>
    <sheetView topLeftCell="A13" workbookViewId="0">
      <selection activeCell="F37" sqref="F37"/>
    </sheetView>
  </sheetViews>
  <sheetFormatPr defaultRowHeight="15" x14ac:dyDescent="0.25"/>
  <sheetData>
    <row r="1" spans="1:9" x14ac:dyDescent="0.25">
      <c r="A1" s="2" t="s">
        <v>22</v>
      </c>
      <c r="B1" s="1" t="s">
        <v>22</v>
      </c>
      <c r="D1">
        <f>HEX2DEC("FF")</f>
        <v>255</v>
      </c>
      <c r="E1">
        <f>HEX2DEC("FF")</f>
        <v>255</v>
      </c>
      <c r="F1">
        <f>HEX2DEC("FF")</f>
        <v>255</v>
      </c>
      <c r="G1" t="s">
        <v>23</v>
      </c>
    </row>
    <row r="2" spans="1:9" x14ac:dyDescent="0.25">
      <c r="A2" s="4" t="s">
        <v>24</v>
      </c>
      <c r="B2" s="3" t="s">
        <v>24</v>
      </c>
      <c r="D2">
        <f>HEX2DEC("00")</f>
        <v>0</v>
      </c>
      <c r="E2">
        <f>HEX2DEC("00")</f>
        <v>0</v>
      </c>
      <c r="F2">
        <f>HEX2DEC("00")</f>
        <v>0</v>
      </c>
      <c r="G2" t="s">
        <v>25</v>
      </c>
    </row>
    <row r="3" spans="1:9" x14ac:dyDescent="0.25">
      <c r="A3" s="6" t="s">
        <v>26</v>
      </c>
      <c r="B3" s="5" t="s">
        <v>26</v>
      </c>
      <c r="D3">
        <f>HEX2DEC("FF")</f>
        <v>255</v>
      </c>
      <c r="E3">
        <f>HEX2DEC("FF")</f>
        <v>255</v>
      </c>
      <c r="F3">
        <f>HEX2DEC("FF")</f>
        <v>255</v>
      </c>
      <c r="G3" t="s">
        <v>27</v>
      </c>
    </row>
    <row r="4" spans="1:9" x14ac:dyDescent="0.25">
      <c r="A4" s="8" t="s">
        <v>28</v>
      </c>
      <c r="B4" s="7" t="s">
        <v>28</v>
      </c>
      <c r="D4">
        <f>HEX2DEC("FF")</f>
        <v>255</v>
      </c>
      <c r="E4">
        <f>HEX2DEC("00")</f>
        <v>0</v>
      </c>
      <c r="F4">
        <f>HEX2DEC("00")</f>
        <v>0</v>
      </c>
      <c r="G4" t="s">
        <v>29</v>
      </c>
    </row>
    <row r="5" spans="1:9" x14ac:dyDescent="0.25">
      <c r="A5" s="10" t="s">
        <v>30</v>
      </c>
      <c r="B5" s="9" t="s">
        <v>30</v>
      </c>
      <c r="D5">
        <f>HEX2DEC("00")</f>
        <v>0</v>
      </c>
      <c r="E5">
        <f>HEX2DEC("FF")</f>
        <v>255</v>
      </c>
      <c r="F5">
        <f>HEX2DEC("00")</f>
        <v>0</v>
      </c>
      <c r="G5" t="s">
        <v>31</v>
      </c>
    </row>
    <row r="6" spans="1:9" x14ac:dyDescent="0.25">
      <c r="A6" s="12" t="s">
        <v>32</v>
      </c>
      <c r="B6" s="11" t="s">
        <v>32</v>
      </c>
      <c r="D6">
        <f>HEX2DEC("00")</f>
        <v>0</v>
      </c>
      <c r="E6">
        <f>HEX2DEC("00")</f>
        <v>0</v>
      </c>
      <c r="F6">
        <f>HEX2DEC("FF")</f>
        <v>255</v>
      </c>
      <c r="G6" t="s">
        <v>33</v>
      </c>
    </row>
    <row r="7" spans="1:9" x14ac:dyDescent="0.25">
      <c r="A7" s="14" t="s">
        <v>34</v>
      </c>
      <c r="B7" s="13" t="s">
        <v>34</v>
      </c>
      <c r="D7">
        <f>HEX2DEC("FF")</f>
        <v>255</v>
      </c>
      <c r="E7">
        <f>HEX2DEC("FF")</f>
        <v>255</v>
      </c>
      <c r="F7">
        <f>HEX2DEC("00")</f>
        <v>0</v>
      </c>
      <c r="G7" t="s">
        <v>35</v>
      </c>
      <c r="I7" t="s">
        <v>24</v>
      </c>
    </row>
    <row r="8" spans="1:9" x14ac:dyDescent="0.25">
      <c r="A8" s="16" t="s">
        <v>36</v>
      </c>
      <c r="B8" s="15" t="s">
        <v>36</v>
      </c>
      <c r="D8">
        <f>HEX2DEC("FF")</f>
        <v>255</v>
      </c>
      <c r="E8">
        <f>HEX2DEC("00")</f>
        <v>0</v>
      </c>
      <c r="F8">
        <f>HEX2DEC("FF")</f>
        <v>255</v>
      </c>
      <c r="G8" t="s">
        <v>37</v>
      </c>
    </row>
    <row r="9" spans="1:9" x14ac:dyDescent="0.25">
      <c r="A9" s="18" t="s">
        <v>38</v>
      </c>
      <c r="B9" s="17" t="s">
        <v>38</v>
      </c>
      <c r="D9">
        <f>HEX2DEC("00")</f>
        <v>0</v>
      </c>
      <c r="E9">
        <f>HEX2DEC("FF")</f>
        <v>255</v>
      </c>
      <c r="F9">
        <f>HEX2DEC("FF")</f>
        <v>255</v>
      </c>
      <c r="G9" t="s">
        <v>39</v>
      </c>
    </row>
    <row r="10" spans="1:9" x14ac:dyDescent="0.25">
      <c r="A10" s="20" t="s">
        <v>40</v>
      </c>
      <c r="B10" s="19" t="s">
        <v>40</v>
      </c>
      <c r="D10">
        <f>HEX2DEC("80")</f>
        <v>128</v>
      </c>
      <c r="E10">
        <f>HEX2DEC("00")</f>
        <v>0</v>
      </c>
      <c r="F10">
        <f>HEX2DEC("00")</f>
        <v>0</v>
      </c>
      <c r="G10" t="s">
        <v>41</v>
      </c>
    </row>
    <row r="11" spans="1:9" x14ac:dyDescent="0.25">
      <c r="A11" s="22" t="s">
        <v>42</v>
      </c>
      <c r="B11" s="21" t="s">
        <v>42</v>
      </c>
      <c r="D11">
        <f>HEX2DEC("00")</f>
        <v>0</v>
      </c>
      <c r="E11">
        <f>HEX2DEC("80")</f>
        <v>128</v>
      </c>
      <c r="F11">
        <f>HEX2DEC("00")</f>
        <v>0</v>
      </c>
      <c r="G11" t="s">
        <v>43</v>
      </c>
    </row>
    <row r="12" spans="1:9" x14ac:dyDescent="0.25">
      <c r="A12" s="24" t="s">
        <v>44</v>
      </c>
      <c r="B12" s="23" t="s">
        <v>44</v>
      </c>
      <c r="D12">
        <f>HEX2DEC("00")</f>
        <v>0</v>
      </c>
      <c r="E12">
        <f>HEX2DEC("00")</f>
        <v>0</v>
      </c>
      <c r="F12">
        <f>HEX2DEC("80")</f>
        <v>128</v>
      </c>
      <c r="G12" t="s">
        <v>45</v>
      </c>
    </row>
    <row r="13" spans="1:9" x14ac:dyDescent="0.25">
      <c r="A13" s="26" t="s">
        <v>46</v>
      </c>
      <c r="B13" s="25" t="s">
        <v>46</v>
      </c>
      <c r="D13">
        <f>HEX2DEC("80")</f>
        <v>128</v>
      </c>
      <c r="E13">
        <f>HEX2DEC("80")</f>
        <v>128</v>
      </c>
      <c r="F13">
        <f>HEX2DEC("00")</f>
        <v>0</v>
      </c>
      <c r="G13" t="s">
        <v>47</v>
      </c>
    </row>
    <row r="14" spans="1:9" x14ac:dyDescent="0.25">
      <c r="A14" s="28" t="s">
        <v>48</v>
      </c>
      <c r="B14" s="27" t="s">
        <v>48</v>
      </c>
      <c r="D14">
        <f>HEX2DEC("80")</f>
        <v>128</v>
      </c>
      <c r="E14">
        <f>HEX2DEC("00")</f>
        <v>0</v>
      </c>
      <c r="F14">
        <f>HEX2DEC("80")</f>
        <v>128</v>
      </c>
      <c r="G14" t="s">
        <v>49</v>
      </c>
    </row>
    <row r="15" spans="1:9" x14ac:dyDescent="0.25">
      <c r="A15" s="30" t="s">
        <v>50</v>
      </c>
      <c r="B15" s="29" t="s">
        <v>50</v>
      </c>
      <c r="D15">
        <f>HEX2DEC("00")</f>
        <v>0</v>
      </c>
      <c r="E15">
        <f>HEX2DEC("80")</f>
        <v>128</v>
      </c>
      <c r="F15">
        <f>HEX2DEC("80")</f>
        <v>128</v>
      </c>
      <c r="G15" t="s">
        <v>51</v>
      </c>
    </row>
    <row r="16" spans="1:9" x14ac:dyDescent="0.25">
      <c r="A16" s="32" t="s">
        <v>52</v>
      </c>
      <c r="B16" s="31" t="s">
        <v>52</v>
      </c>
      <c r="D16">
        <f>HEX2DEC("C0")</f>
        <v>192</v>
      </c>
      <c r="E16">
        <f>HEX2DEC("C0")</f>
        <v>192</v>
      </c>
      <c r="F16">
        <f>HEX2DEC("C0")</f>
        <v>192</v>
      </c>
      <c r="G16" t="s">
        <v>53</v>
      </c>
    </row>
    <row r="17" spans="1:7" x14ac:dyDescent="0.25">
      <c r="A17" s="34" t="s">
        <v>54</v>
      </c>
      <c r="B17" s="33" t="s">
        <v>54</v>
      </c>
      <c r="D17">
        <f>HEX2DEC("80")</f>
        <v>128</v>
      </c>
      <c r="E17">
        <f>HEX2DEC("80")</f>
        <v>128</v>
      </c>
      <c r="F17">
        <f>HEX2DEC("80")</f>
        <v>128</v>
      </c>
      <c r="G17" t="s">
        <v>55</v>
      </c>
    </row>
    <row r="18" spans="1:7" x14ac:dyDescent="0.25">
      <c r="A18" s="36" t="s">
        <v>56</v>
      </c>
      <c r="B18" s="35" t="s">
        <v>56</v>
      </c>
      <c r="D18">
        <f>HEX2DEC("99")</f>
        <v>153</v>
      </c>
      <c r="E18">
        <f>HEX2DEC("99")</f>
        <v>153</v>
      </c>
      <c r="F18">
        <f>HEX2DEC("FF")</f>
        <v>255</v>
      </c>
      <c r="G18" t="s">
        <v>57</v>
      </c>
    </row>
    <row r="19" spans="1:7" x14ac:dyDescent="0.25">
      <c r="A19" s="38" t="s">
        <v>58</v>
      </c>
      <c r="B19" s="37" t="s">
        <v>58</v>
      </c>
      <c r="D19">
        <f>HEX2DEC("99")</f>
        <v>153</v>
      </c>
      <c r="E19">
        <f>HEX2DEC("33")</f>
        <v>51</v>
      </c>
      <c r="F19">
        <f>HEX2DEC("66")</f>
        <v>102</v>
      </c>
      <c r="G19" t="s">
        <v>59</v>
      </c>
    </row>
    <row r="20" spans="1:7" x14ac:dyDescent="0.25">
      <c r="A20" s="40" t="s">
        <v>60</v>
      </c>
      <c r="B20" s="39" t="s">
        <v>60</v>
      </c>
      <c r="D20">
        <f>HEX2DEC("FF")</f>
        <v>255</v>
      </c>
      <c r="E20">
        <f>HEX2DEC("FF")</f>
        <v>255</v>
      </c>
      <c r="F20">
        <f>HEX2DEC("CC")</f>
        <v>204</v>
      </c>
      <c r="G20" t="s">
        <v>61</v>
      </c>
    </row>
    <row r="21" spans="1:7" x14ac:dyDescent="0.25">
      <c r="A21" s="42" t="s">
        <v>62</v>
      </c>
      <c r="B21" s="41" t="s">
        <v>62</v>
      </c>
      <c r="D21">
        <f>HEX2DEC("CC")</f>
        <v>204</v>
      </c>
      <c r="E21">
        <f>HEX2DEC("FF")</f>
        <v>255</v>
      </c>
      <c r="F21">
        <f>HEX2DEC("FF")</f>
        <v>255</v>
      </c>
      <c r="G21" t="s">
        <v>63</v>
      </c>
    </row>
    <row r="22" spans="1:7" x14ac:dyDescent="0.25">
      <c r="A22" s="44" t="s">
        <v>64</v>
      </c>
      <c r="B22" s="43" t="s">
        <v>64</v>
      </c>
      <c r="D22">
        <f>HEX2DEC("66")</f>
        <v>102</v>
      </c>
      <c r="E22">
        <f>HEX2DEC("00")</f>
        <v>0</v>
      </c>
      <c r="F22">
        <f>HEX2DEC("66")</f>
        <v>102</v>
      </c>
      <c r="G22" t="s">
        <v>65</v>
      </c>
    </row>
    <row r="23" spans="1:7" x14ac:dyDescent="0.25">
      <c r="A23" s="46" t="s">
        <v>66</v>
      </c>
      <c r="B23" s="45" t="s">
        <v>66</v>
      </c>
      <c r="D23">
        <f>HEX2DEC("FF")</f>
        <v>255</v>
      </c>
      <c r="E23">
        <f>HEX2DEC("80")</f>
        <v>128</v>
      </c>
      <c r="F23">
        <f>HEX2DEC("80")</f>
        <v>128</v>
      </c>
      <c r="G23" t="s">
        <v>67</v>
      </c>
    </row>
    <row r="24" spans="1:7" x14ac:dyDescent="0.25">
      <c r="A24" s="48" t="s">
        <v>68</v>
      </c>
      <c r="B24" s="47" t="s">
        <v>68</v>
      </c>
      <c r="D24">
        <f>HEX2DEC("00")</f>
        <v>0</v>
      </c>
      <c r="E24">
        <f>HEX2DEC("66")</f>
        <v>102</v>
      </c>
      <c r="F24">
        <f>HEX2DEC("CC")</f>
        <v>204</v>
      </c>
      <c r="G24" t="s">
        <v>69</v>
      </c>
    </row>
    <row r="25" spans="1:7" x14ac:dyDescent="0.25">
      <c r="A25" s="50" t="s">
        <v>70</v>
      </c>
      <c r="B25" s="49" t="s">
        <v>70</v>
      </c>
      <c r="D25">
        <f>HEX2DEC("CC")</f>
        <v>204</v>
      </c>
      <c r="E25">
        <f>HEX2DEC("CC")</f>
        <v>204</v>
      </c>
      <c r="F25">
        <f>HEX2DEC("FF")</f>
        <v>255</v>
      </c>
      <c r="G25" t="s">
        <v>71</v>
      </c>
    </row>
    <row r="26" spans="1:7" x14ac:dyDescent="0.25">
      <c r="A26" s="52" t="s">
        <v>72</v>
      </c>
      <c r="B26" s="51" t="s">
        <v>72</v>
      </c>
      <c r="D26">
        <f>HEX2DEC("00")</f>
        <v>0</v>
      </c>
      <c r="E26">
        <f>HEX2DEC("00")</f>
        <v>0</v>
      </c>
      <c r="F26">
        <f>HEX2DEC("80")</f>
        <v>128</v>
      </c>
      <c r="G26" t="s">
        <v>73</v>
      </c>
    </row>
    <row r="27" spans="1:7" x14ac:dyDescent="0.25">
      <c r="A27" s="54" t="s">
        <v>74</v>
      </c>
      <c r="B27" s="53" t="s">
        <v>74</v>
      </c>
      <c r="D27">
        <f>HEX2DEC("FF")</f>
        <v>255</v>
      </c>
      <c r="E27">
        <f>HEX2DEC("00")</f>
        <v>0</v>
      </c>
      <c r="F27">
        <f>HEX2DEC("FF")</f>
        <v>255</v>
      </c>
      <c r="G27" t="s">
        <v>75</v>
      </c>
    </row>
    <row r="28" spans="1:7" x14ac:dyDescent="0.25">
      <c r="A28" s="56" t="s">
        <v>76</v>
      </c>
      <c r="B28" s="55" t="s">
        <v>76</v>
      </c>
      <c r="D28">
        <f>HEX2DEC("FF")</f>
        <v>255</v>
      </c>
      <c r="E28">
        <f>HEX2DEC("FF")</f>
        <v>255</v>
      </c>
      <c r="F28">
        <f>HEX2DEC("00")</f>
        <v>0</v>
      </c>
      <c r="G28" t="s">
        <v>77</v>
      </c>
    </row>
    <row r="29" spans="1:7" x14ac:dyDescent="0.25">
      <c r="A29" s="58" t="s">
        <v>78</v>
      </c>
      <c r="B29" s="57" t="s">
        <v>78</v>
      </c>
      <c r="D29">
        <f>HEX2DEC("00")</f>
        <v>0</v>
      </c>
      <c r="E29">
        <f>HEX2DEC("FF")</f>
        <v>255</v>
      </c>
      <c r="F29">
        <f>HEX2DEC("FF")</f>
        <v>255</v>
      </c>
      <c r="G29" t="s">
        <v>79</v>
      </c>
    </row>
    <row r="30" spans="1:7" x14ac:dyDescent="0.25">
      <c r="A30" s="60" t="s">
        <v>80</v>
      </c>
      <c r="B30" s="59" t="s">
        <v>80</v>
      </c>
      <c r="D30">
        <f>HEX2DEC("80")</f>
        <v>128</v>
      </c>
      <c r="E30">
        <f>HEX2DEC("00")</f>
        <v>0</v>
      </c>
      <c r="F30">
        <f>HEX2DEC("80")</f>
        <v>128</v>
      </c>
      <c r="G30" t="s">
        <v>81</v>
      </c>
    </row>
    <row r="31" spans="1:7" x14ac:dyDescent="0.25">
      <c r="A31" s="62" t="s">
        <v>82</v>
      </c>
      <c r="B31" s="61" t="s">
        <v>82</v>
      </c>
      <c r="D31">
        <f>HEX2DEC("80")</f>
        <v>128</v>
      </c>
      <c r="E31">
        <f>HEX2DEC("00")</f>
        <v>0</v>
      </c>
      <c r="F31">
        <f>HEX2DEC("00")</f>
        <v>0</v>
      </c>
      <c r="G31" t="s">
        <v>83</v>
      </c>
    </row>
    <row r="32" spans="1:7" x14ac:dyDescent="0.25">
      <c r="A32" s="64" t="s">
        <v>84</v>
      </c>
      <c r="B32" s="63" t="s">
        <v>84</v>
      </c>
      <c r="D32">
        <f>HEX2DEC("00")</f>
        <v>0</v>
      </c>
      <c r="E32">
        <f>HEX2DEC("80")</f>
        <v>128</v>
      </c>
      <c r="F32">
        <f>HEX2DEC("80")</f>
        <v>128</v>
      </c>
      <c r="G32" t="s">
        <v>85</v>
      </c>
    </row>
    <row r="33" spans="1:7" x14ac:dyDescent="0.25">
      <c r="A33" s="66" t="s">
        <v>86</v>
      </c>
      <c r="B33" s="65" t="s">
        <v>86</v>
      </c>
      <c r="D33">
        <f>HEX2DEC("00")</f>
        <v>0</v>
      </c>
      <c r="E33">
        <f>HEX2DEC("00")</f>
        <v>0</v>
      </c>
      <c r="F33">
        <f>HEX2DEC("FF")</f>
        <v>255</v>
      </c>
      <c r="G33" t="s">
        <v>87</v>
      </c>
    </row>
    <row r="34" spans="1:7" x14ac:dyDescent="0.25">
      <c r="A34" s="68" t="s">
        <v>88</v>
      </c>
      <c r="B34" s="67" t="s">
        <v>88</v>
      </c>
      <c r="D34">
        <f>HEX2DEC("00")</f>
        <v>0</v>
      </c>
      <c r="E34">
        <f>HEX2DEC("CC")</f>
        <v>204</v>
      </c>
      <c r="F34">
        <f>HEX2DEC("FF")</f>
        <v>255</v>
      </c>
      <c r="G34" t="s">
        <v>89</v>
      </c>
    </row>
    <row r="35" spans="1:7" x14ac:dyDescent="0.25">
      <c r="A35" s="70" t="s">
        <v>90</v>
      </c>
      <c r="B35" s="69" t="s">
        <v>90</v>
      </c>
      <c r="D35">
        <f>HEX2DEC("CC")</f>
        <v>204</v>
      </c>
      <c r="E35">
        <f>HEX2DEC("FF")</f>
        <v>255</v>
      </c>
      <c r="F35">
        <f>HEX2DEC("FF")</f>
        <v>255</v>
      </c>
      <c r="G35" t="s">
        <v>91</v>
      </c>
    </row>
    <row r="36" spans="1:7" x14ac:dyDescent="0.25">
      <c r="A36" s="72" t="s">
        <v>92</v>
      </c>
      <c r="B36" s="71" t="s">
        <v>92</v>
      </c>
      <c r="D36">
        <f>HEX2DEC("CC")</f>
        <v>204</v>
      </c>
      <c r="E36">
        <f>HEX2DEC("FF")</f>
        <v>255</v>
      </c>
      <c r="F36">
        <f>HEX2DEC("CC")</f>
        <v>204</v>
      </c>
      <c r="G36" t="s">
        <v>93</v>
      </c>
    </row>
    <row r="37" spans="1:7" x14ac:dyDescent="0.25">
      <c r="A37" s="74" t="s">
        <v>94</v>
      </c>
      <c r="B37" s="73" t="s">
        <v>94</v>
      </c>
      <c r="D37">
        <f>HEX2DEC("FF")</f>
        <v>255</v>
      </c>
      <c r="E37">
        <f>HEX2DEC("FF")</f>
        <v>255</v>
      </c>
      <c r="F37">
        <f>HEX2DEC("99")</f>
        <v>153</v>
      </c>
      <c r="G37" t="s">
        <v>95</v>
      </c>
    </row>
    <row r="38" spans="1:7" x14ac:dyDescent="0.25">
      <c r="A38" s="76" t="s">
        <v>96</v>
      </c>
      <c r="B38" s="75" t="s">
        <v>96</v>
      </c>
      <c r="D38">
        <f>HEX2DEC("99")</f>
        <v>153</v>
      </c>
      <c r="E38">
        <f>HEX2DEC("CC")</f>
        <v>204</v>
      </c>
      <c r="F38">
        <f>HEX2DEC("FF")</f>
        <v>255</v>
      </c>
      <c r="G38" t="s">
        <v>97</v>
      </c>
    </row>
    <row r="39" spans="1:7" x14ac:dyDescent="0.25">
      <c r="A39" s="78" t="s">
        <v>98</v>
      </c>
      <c r="B39" s="77" t="s">
        <v>98</v>
      </c>
      <c r="D39">
        <f>HEX2DEC("FF")</f>
        <v>255</v>
      </c>
      <c r="E39">
        <f>HEX2DEC("99")</f>
        <v>153</v>
      </c>
      <c r="F39">
        <f>HEX2DEC("CC")</f>
        <v>204</v>
      </c>
      <c r="G39" t="s">
        <v>99</v>
      </c>
    </row>
    <row r="40" spans="1:7" x14ac:dyDescent="0.25">
      <c r="A40" s="80" t="s">
        <v>100</v>
      </c>
      <c r="B40" s="79" t="s">
        <v>100</v>
      </c>
      <c r="D40">
        <f>HEX2DEC("CC")</f>
        <v>204</v>
      </c>
      <c r="E40">
        <f>HEX2DEC("99")</f>
        <v>153</v>
      </c>
      <c r="F40">
        <f>HEX2DEC("FF")</f>
        <v>255</v>
      </c>
      <c r="G40" t="s">
        <v>101</v>
      </c>
    </row>
    <row r="41" spans="1:7" x14ac:dyDescent="0.25">
      <c r="A41" s="82" t="s">
        <v>102</v>
      </c>
      <c r="B41" s="81" t="s">
        <v>102</v>
      </c>
      <c r="D41">
        <f>HEX2DEC("FF")</f>
        <v>255</v>
      </c>
      <c r="E41">
        <f>HEX2DEC("CC")</f>
        <v>204</v>
      </c>
      <c r="F41">
        <f>HEX2DEC("99")</f>
        <v>153</v>
      </c>
      <c r="G41" t="s">
        <v>103</v>
      </c>
    </row>
    <row r="42" spans="1:7" x14ac:dyDescent="0.25">
      <c r="A42" s="84" t="s">
        <v>104</v>
      </c>
      <c r="B42" s="83" t="s">
        <v>104</v>
      </c>
      <c r="D42">
        <f>HEX2DEC("33")</f>
        <v>51</v>
      </c>
      <c r="E42">
        <f>HEX2DEC("66")</f>
        <v>102</v>
      </c>
      <c r="F42">
        <f>HEX2DEC("FF")</f>
        <v>255</v>
      </c>
      <c r="G42" t="s">
        <v>105</v>
      </c>
    </row>
    <row r="43" spans="1:7" x14ac:dyDescent="0.25">
      <c r="A43" s="86" t="s">
        <v>106</v>
      </c>
      <c r="B43" s="85" t="s">
        <v>106</v>
      </c>
      <c r="D43">
        <f>HEX2DEC("33")</f>
        <v>51</v>
      </c>
      <c r="E43">
        <f>HEX2DEC("CC")</f>
        <v>204</v>
      </c>
      <c r="F43">
        <f>HEX2DEC("CC")</f>
        <v>204</v>
      </c>
      <c r="G43" t="s">
        <v>107</v>
      </c>
    </row>
    <row r="44" spans="1:7" x14ac:dyDescent="0.25">
      <c r="A44" s="88" t="s">
        <v>108</v>
      </c>
      <c r="B44" s="87" t="s">
        <v>108</v>
      </c>
      <c r="D44">
        <f>HEX2DEC("99")</f>
        <v>153</v>
      </c>
      <c r="E44">
        <f>HEX2DEC("CC")</f>
        <v>204</v>
      </c>
      <c r="F44">
        <f>HEX2DEC("00")</f>
        <v>0</v>
      </c>
      <c r="G44" t="s">
        <v>109</v>
      </c>
    </row>
    <row r="45" spans="1:7" x14ac:dyDescent="0.25">
      <c r="A45" s="90" t="s">
        <v>110</v>
      </c>
      <c r="B45" s="89" t="s">
        <v>110</v>
      </c>
      <c r="D45">
        <f>HEX2DEC("FF")</f>
        <v>255</v>
      </c>
      <c r="E45">
        <f>HEX2DEC("CC")</f>
        <v>204</v>
      </c>
      <c r="F45">
        <f>HEX2DEC("00")</f>
        <v>0</v>
      </c>
      <c r="G45" t="s">
        <v>111</v>
      </c>
    </row>
    <row r="46" spans="1:7" x14ac:dyDescent="0.25">
      <c r="A46" s="92" t="s">
        <v>112</v>
      </c>
      <c r="B46" s="91" t="s">
        <v>112</v>
      </c>
      <c r="D46">
        <f>HEX2DEC("FF")</f>
        <v>255</v>
      </c>
      <c r="E46">
        <f>HEX2DEC("99")</f>
        <v>153</v>
      </c>
      <c r="F46">
        <f>HEX2DEC("00")</f>
        <v>0</v>
      </c>
      <c r="G46" t="s">
        <v>113</v>
      </c>
    </row>
    <row r="47" spans="1:7" x14ac:dyDescent="0.25">
      <c r="A47" s="94" t="s">
        <v>114</v>
      </c>
      <c r="B47" s="93" t="s">
        <v>114</v>
      </c>
      <c r="D47">
        <f>HEX2DEC("FF")</f>
        <v>255</v>
      </c>
      <c r="E47">
        <f>HEX2DEC("66")</f>
        <v>102</v>
      </c>
      <c r="F47">
        <f>HEX2DEC("00")</f>
        <v>0</v>
      </c>
      <c r="G47" t="s">
        <v>115</v>
      </c>
    </row>
    <row r="48" spans="1:7" x14ac:dyDescent="0.25">
      <c r="A48" s="96" t="s">
        <v>116</v>
      </c>
      <c r="B48" s="95" t="s">
        <v>116</v>
      </c>
      <c r="D48">
        <f>HEX2DEC("66")</f>
        <v>102</v>
      </c>
      <c r="E48">
        <f>HEX2DEC("66")</f>
        <v>102</v>
      </c>
      <c r="F48">
        <f>HEX2DEC("99")</f>
        <v>153</v>
      </c>
      <c r="G48" t="s">
        <v>117</v>
      </c>
    </row>
    <row r="49" spans="1:7" x14ac:dyDescent="0.25">
      <c r="A49" s="98" t="s">
        <v>118</v>
      </c>
      <c r="B49" s="97" t="s">
        <v>118</v>
      </c>
      <c r="D49">
        <f>HEX2DEC("96")</f>
        <v>150</v>
      </c>
      <c r="E49">
        <f>HEX2DEC("96")</f>
        <v>150</v>
      </c>
      <c r="F49">
        <f>HEX2DEC("96")</f>
        <v>150</v>
      </c>
      <c r="G49" t="s">
        <v>119</v>
      </c>
    </row>
    <row r="50" spans="1:7" x14ac:dyDescent="0.25">
      <c r="A50" s="100" t="s">
        <v>120</v>
      </c>
      <c r="B50" s="99" t="s">
        <v>120</v>
      </c>
      <c r="D50">
        <f>HEX2DEC("00")</f>
        <v>0</v>
      </c>
      <c r="E50">
        <f>HEX2DEC("33")</f>
        <v>51</v>
      </c>
      <c r="F50">
        <f>HEX2DEC("66")</f>
        <v>102</v>
      </c>
      <c r="G50" t="s">
        <v>121</v>
      </c>
    </row>
    <row r="51" spans="1:7" x14ac:dyDescent="0.25">
      <c r="A51" s="102" t="s">
        <v>122</v>
      </c>
      <c r="B51" s="101" t="s">
        <v>122</v>
      </c>
      <c r="D51">
        <f>HEX2DEC("33")</f>
        <v>51</v>
      </c>
      <c r="E51">
        <f>HEX2DEC("99")</f>
        <v>153</v>
      </c>
      <c r="F51">
        <f>HEX2DEC("66")</f>
        <v>102</v>
      </c>
      <c r="G51" t="s">
        <v>123</v>
      </c>
    </row>
    <row r="52" spans="1:7" x14ac:dyDescent="0.25">
      <c r="A52" s="104" t="s">
        <v>124</v>
      </c>
      <c r="B52" s="103" t="s">
        <v>124</v>
      </c>
      <c r="D52">
        <f>HEX2DEC("00")</f>
        <v>0</v>
      </c>
      <c r="E52">
        <f t="shared" ref="E52:E57" si="0">HEX2DEC("33")</f>
        <v>51</v>
      </c>
      <c r="F52">
        <f>HEX2DEC("00")</f>
        <v>0</v>
      </c>
      <c r="G52" t="s">
        <v>125</v>
      </c>
    </row>
    <row r="53" spans="1:7" x14ac:dyDescent="0.25">
      <c r="A53" s="106" t="s">
        <v>126</v>
      </c>
      <c r="B53" s="105" t="s">
        <v>126</v>
      </c>
      <c r="D53">
        <f>HEX2DEC("33")</f>
        <v>51</v>
      </c>
      <c r="E53">
        <f t="shared" si="0"/>
        <v>51</v>
      </c>
      <c r="F53">
        <f>HEX2DEC("00")</f>
        <v>0</v>
      </c>
      <c r="G53" t="s">
        <v>127</v>
      </c>
    </row>
    <row r="54" spans="1:7" x14ac:dyDescent="0.25">
      <c r="A54" s="108" t="s">
        <v>128</v>
      </c>
      <c r="B54" s="107" t="s">
        <v>128</v>
      </c>
      <c r="D54">
        <f>HEX2DEC("99")</f>
        <v>153</v>
      </c>
      <c r="E54">
        <f t="shared" si="0"/>
        <v>51</v>
      </c>
      <c r="F54">
        <f>HEX2DEC("00")</f>
        <v>0</v>
      </c>
      <c r="G54" t="s">
        <v>129</v>
      </c>
    </row>
    <row r="55" spans="1:7" x14ac:dyDescent="0.25">
      <c r="A55" s="110" t="s">
        <v>130</v>
      </c>
      <c r="B55" s="109" t="s">
        <v>130</v>
      </c>
      <c r="D55">
        <f>HEX2DEC("99")</f>
        <v>153</v>
      </c>
      <c r="E55">
        <f t="shared" si="0"/>
        <v>51</v>
      </c>
      <c r="F55">
        <f>HEX2DEC("66")</f>
        <v>102</v>
      </c>
      <c r="G55" t="s">
        <v>131</v>
      </c>
    </row>
    <row r="56" spans="1:7" x14ac:dyDescent="0.25">
      <c r="A56" s="112" t="s">
        <v>132</v>
      </c>
      <c r="B56" s="111" t="s">
        <v>132</v>
      </c>
      <c r="D56">
        <f>HEX2DEC("33")</f>
        <v>51</v>
      </c>
      <c r="E56">
        <f t="shared" si="0"/>
        <v>51</v>
      </c>
      <c r="F56">
        <f>HEX2DEC("99")</f>
        <v>153</v>
      </c>
      <c r="G56" t="s">
        <v>133</v>
      </c>
    </row>
    <row r="57" spans="1:7" x14ac:dyDescent="0.25">
      <c r="A57" s="114" t="s">
        <v>134</v>
      </c>
      <c r="B57" s="113" t="s">
        <v>134</v>
      </c>
      <c r="D57">
        <f>HEX2DEC("33")</f>
        <v>51</v>
      </c>
      <c r="E57">
        <f t="shared" si="0"/>
        <v>51</v>
      </c>
      <c r="F57">
        <f>HEX2DEC("33")</f>
        <v>51</v>
      </c>
      <c r="G57" t="s">
        <v>135</v>
      </c>
    </row>
  </sheetData>
  <dataValidations count="1">
    <dataValidation type="list" allowBlank="1" showInputMessage="1" showErrorMessage="1" sqref="I7">
      <formula1>$A$1:$A$20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6"/>
  <sheetViews>
    <sheetView workbookViewId="0">
      <selection activeCell="G21" sqref="G21"/>
    </sheetView>
  </sheetViews>
  <sheetFormatPr defaultRowHeight="15" x14ac:dyDescent="0.25"/>
  <cols>
    <col min="1" max="1" width="23.85546875" bestFit="1" customWidth="1"/>
    <col min="3" max="7" width="4" bestFit="1" customWidth="1"/>
  </cols>
  <sheetData>
    <row r="1" spans="1:7" x14ac:dyDescent="0.25">
      <c r="A1" t="str">
        <f>fortran!A1</f>
        <v>Name</v>
      </c>
      <c r="B1" t="str">
        <f>fortran!B1</f>
        <v>fr</v>
      </c>
      <c r="C1" t="str">
        <f>fortran!C1</f>
        <v>fg</v>
      </c>
      <c r="D1" t="str">
        <f>fortran!D1</f>
        <v>fb</v>
      </c>
      <c r="E1" t="str">
        <f>fortran!E1</f>
        <v>br</v>
      </c>
      <c r="F1" t="str">
        <f>fortran!F1</f>
        <v>bg</v>
      </c>
      <c r="G1" t="str">
        <f>fortran!G1</f>
        <v>bb</v>
      </c>
    </row>
    <row r="2" spans="1:7" x14ac:dyDescent="0.25">
      <c r="A2" t="str">
        <f>fortran!A2</f>
        <v>Default</v>
      </c>
      <c r="B2">
        <f>fortran!B2</f>
        <v>244</v>
      </c>
      <c r="C2">
        <f>fortran!C2</f>
        <v>128</v>
      </c>
      <c r="D2">
        <f>fortran!D2</f>
        <v>0</v>
      </c>
      <c r="E2">
        <f>fortran!E2</f>
        <v>24</v>
      </c>
      <c r="F2">
        <f>fortran!F2</f>
        <v>8</v>
      </c>
      <c r="G2">
        <f>fortran!G2</f>
        <v>8</v>
      </c>
    </row>
    <row r="3" spans="1:7" x14ac:dyDescent="0.25">
      <c r="A3" t="str">
        <f>fortran!A3</f>
        <v>Comment</v>
      </c>
      <c r="B3">
        <f>fortran!B3</f>
        <v>160</v>
      </c>
      <c r="C3">
        <f>fortran!C3</f>
        <v>160</v>
      </c>
      <c r="D3">
        <f>fortran!D3</f>
        <v>32</v>
      </c>
      <c r="E3">
        <f>fortran!E3</f>
        <v>24</v>
      </c>
      <c r="F3">
        <f>fortran!F3</f>
        <v>8</v>
      </c>
      <c r="G3">
        <f>fortran!G3</f>
        <v>8</v>
      </c>
    </row>
    <row r="4" spans="1:7" x14ac:dyDescent="0.25">
      <c r="A4" t="str">
        <f>fortran!A4</f>
        <v>Number</v>
      </c>
      <c r="B4">
        <f>fortran!B4</f>
        <v>255</v>
      </c>
      <c r="C4">
        <f>fortran!C4</f>
        <v>224</v>
      </c>
      <c r="D4">
        <f>fortran!D4</f>
        <v>32</v>
      </c>
      <c r="E4">
        <f>fortran!E4</f>
        <v>24</v>
      </c>
      <c r="F4">
        <f>fortran!F4</f>
        <v>8</v>
      </c>
      <c r="G4">
        <f>fortran!G4</f>
        <v>8</v>
      </c>
    </row>
    <row r="5" spans="1:7" x14ac:dyDescent="0.25">
      <c r="A5" t="str">
        <f>fortran!A5</f>
        <v>Identifier</v>
      </c>
      <c r="B5">
        <f>fortran!B5</f>
        <v>255</v>
      </c>
      <c r="C5">
        <f>fortran!C5</f>
        <v>224</v>
      </c>
      <c r="D5">
        <f>fortran!D5</f>
        <v>32</v>
      </c>
      <c r="E5">
        <f>fortran!E5</f>
        <v>24</v>
      </c>
      <c r="F5">
        <f>fortran!F5</f>
        <v>8</v>
      </c>
      <c r="G5">
        <f>fortran!G5</f>
        <v>8</v>
      </c>
    </row>
    <row r="6" spans="1:7" x14ac:dyDescent="0.25">
      <c r="A6" t="str">
        <f>fortran!A6</f>
        <v>Keyword</v>
      </c>
      <c r="B6">
        <f>fortran!B6</f>
        <v>255</v>
      </c>
      <c r="C6">
        <f>fortran!C6</f>
        <v>224</v>
      </c>
      <c r="D6">
        <f>fortran!D6</f>
        <v>32</v>
      </c>
      <c r="E6">
        <f>fortran!E6</f>
        <v>24</v>
      </c>
      <c r="F6">
        <f>fortran!F6</f>
        <v>8</v>
      </c>
      <c r="G6">
        <f>fortran!G6</f>
        <v>8</v>
      </c>
    </row>
    <row r="7" spans="1:7" x14ac:dyDescent="0.25">
      <c r="A7" t="str">
        <f>fortran!A7</f>
        <v>User Keyword</v>
      </c>
      <c r="B7">
        <f>fortran!B7</f>
        <v>255</v>
      </c>
      <c r="C7">
        <f>fortran!C7</f>
        <v>160</v>
      </c>
      <c r="D7">
        <f>fortran!D7</f>
        <v>160</v>
      </c>
      <c r="E7">
        <f>fortran!E7</f>
        <v>24</v>
      </c>
      <c r="F7">
        <f>fortran!F7</f>
        <v>8</v>
      </c>
      <c r="G7">
        <f>fortran!G7</f>
        <v>8</v>
      </c>
    </row>
    <row r="8" spans="1:7" x14ac:dyDescent="0.25">
      <c r="A8" t="str">
        <f>fortran!A8</f>
        <v>String</v>
      </c>
      <c r="B8">
        <f>fortran!B8</f>
        <v>160</v>
      </c>
      <c r="C8">
        <f>fortran!C8</f>
        <v>224</v>
      </c>
      <c r="D8">
        <f>fortran!D8</f>
        <v>0</v>
      </c>
      <c r="E8">
        <f>fortran!E8</f>
        <v>24</v>
      </c>
      <c r="F8">
        <f>fortran!F8</f>
        <v>8</v>
      </c>
      <c r="G8">
        <f>fortran!G8</f>
        <v>8</v>
      </c>
    </row>
    <row r="9" spans="1:7" x14ac:dyDescent="0.25">
      <c r="A9" t="str">
        <f>fortran!A9</f>
        <v>Label</v>
      </c>
      <c r="B9">
        <f>fortran!B9</f>
        <v>255</v>
      </c>
      <c r="C9">
        <f>fortran!C9</f>
        <v>255</v>
      </c>
      <c r="D9">
        <f>fortran!D9</f>
        <v>255</v>
      </c>
      <c r="E9">
        <f>fortran!E9</f>
        <v>24</v>
      </c>
      <c r="F9">
        <f>fortran!F9</f>
        <v>8</v>
      </c>
      <c r="G9">
        <f>fortran!G9</f>
        <v>8</v>
      </c>
    </row>
    <row r="10" spans="1:7" x14ac:dyDescent="0.25">
      <c r="A10" t="str">
        <f>fortran!A10</f>
        <v>Continuation</v>
      </c>
      <c r="B10">
        <f>fortran!B10</f>
        <v>160</v>
      </c>
      <c r="C10">
        <f>fortran!C10</f>
        <v>64</v>
      </c>
      <c r="D10">
        <f>fortran!D10</f>
        <v>32</v>
      </c>
      <c r="E10">
        <f>fortran!E10</f>
        <v>24</v>
      </c>
      <c r="F10">
        <f>fortran!F10</f>
        <v>8</v>
      </c>
      <c r="G10">
        <f>fortran!G10</f>
        <v>8</v>
      </c>
    </row>
    <row r="11" spans="1:7" x14ac:dyDescent="0.25">
      <c r="A11" t="str">
        <f>fortran!A11</f>
        <v>Preprocessor</v>
      </c>
      <c r="B11">
        <f>fortran!B11</f>
        <v>64</v>
      </c>
      <c r="C11">
        <f>fortran!C11</f>
        <v>192</v>
      </c>
      <c r="D11">
        <f>fortran!D11</f>
        <v>32</v>
      </c>
      <c r="E11">
        <f>fortran!E11</f>
        <v>24</v>
      </c>
      <c r="F11">
        <f>fortran!F11</f>
        <v>8</v>
      </c>
      <c r="G11">
        <f>fortran!G11</f>
        <v>8</v>
      </c>
    </row>
    <row r="12" spans="1:7" x14ac:dyDescent="0.25">
      <c r="A12" t="str">
        <f>fortran!A12</f>
        <v>Operator</v>
      </c>
      <c r="B12">
        <f>fortran!B12</f>
        <v>255</v>
      </c>
      <c r="C12">
        <f>fortran!C12</f>
        <v>16</v>
      </c>
      <c r="D12">
        <f>fortran!D12</f>
        <v>0</v>
      </c>
      <c r="E12">
        <f>fortran!E12</f>
        <v>24</v>
      </c>
      <c r="F12">
        <f>fortran!F12</f>
        <v>8</v>
      </c>
      <c r="G12">
        <f>fortran!G12</f>
        <v>8</v>
      </c>
    </row>
    <row r="13" spans="1:7" x14ac:dyDescent="0.25">
      <c r="A13" t="str">
        <f>fortran!A13</f>
        <v>Selection</v>
      </c>
      <c r="B13">
        <f>fortran!B13</f>
        <v>255</v>
      </c>
      <c r="C13">
        <f>fortran!C13</f>
        <v>255</v>
      </c>
      <c r="D13">
        <f>fortran!D13</f>
        <v>255</v>
      </c>
      <c r="E13">
        <f>fortran!E13</f>
        <v>96</v>
      </c>
      <c r="F13">
        <f>fortran!F13</f>
        <v>32</v>
      </c>
      <c r="G13">
        <f>fortran!G13</f>
        <v>32</v>
      </c>
    </row>
    <row r="14" spans="1:7" x14ac:dyDescent="0.25">
      <c r="A14" t="str">
        <f>fortran!A14</f>
        <v>Active line</v>
      </c>
      <c r="B14">
        <f>fortran!B14</f>
        <v>64</v>
      </c>
      <c r="C14">
        <f>fortran!C14</f>
        <v>128</v>
      </c>
      <c r="D14">
        <f>fortran!D14</f>
        <v>128</v>
      </c>
      <c r="E14">
        <f>fortran!E14</f>
        <v>64</v>
      </c>
      <c r="F14">
        <f>fortran!F14</f>
        <v>16</v>
      </c>
      <c r="G14">
        <f>fortran!G14</f>
        <v>16</v>
      </c>
    </row>
    <row r="15" spans="1:7" x14ac:dyDescent="0.25">
      <c r="A15" t="str">
        <f>fortran!A15</f>
        <v>Matching brace highlight</v>
      </c>
      <c r="B15">
        <f>fortran!B15</f>
        <v>255</v>
      </c>
      <c r="C15">
        <f>fortran!C15</f>
        <v>224</v>
      </c>
      <c r="D15">
        <f>fortran!D15</f>
        <v>32</v>
      </c>
      <c r="E15">
        <f>fortran!E15</f>
        <v>24</v>
      </c>
      <c r="F15">
        <f>fortran!F15</f>
        <v>8</v>
      </c>
      <c r="G15">
        <f>fortran!G15</f>
        <v>8</v>
      </c>
    </row>
    <row r="16" spans="1:7" x14ac:dyDescent="0.25">
      <c r="A16" t="str">
        <f>fortran!A16</f>
        <v>No matching brace highlight</v>
      </c>
      <c r="B16">
        <f>fortran!B16</f>
        <v>255</v>
      </c>
      <c r="C16">
        <f>fortran!C16</f>
        <v>224</v>
      </c>
      <c r="D16">
        <f>fortran!D16</f>
        <v>32</v>
      </c>
      <c r="E16">
        <f>fortran!E16</f>
        <v>224</v>
      </c>
      <c r="F16">
        <f>fortran!F16</f>
        <v>32</v>
      </c>
      <c r="G16">
        <f>fortran!G16</f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fortran</vt:lpstr>
      <vt:lpstr>Colors</vt:lpstr>
      <vt:lpstr>cvs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</dc:creator>
  <cp:lastModifiedBy>Mohammad Rahmani</cp:lastModifiedBy>
  <dcterms:created xsi:type="dcterms:W3CDTF">2018-01-07T15:32:34Z</dcterms:created>
  <dcterms:modified xsi:type="dcterms:W3CDTF">2018-01-08T08:53:37Z</dcterms:modified>
</cp:coreProperties>
</file>